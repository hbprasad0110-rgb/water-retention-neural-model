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behzadghanbarian 1/BEHZADS/Behzad/UTA/Research UTA/Jahnavi Ashok/Raz's project/Task for applicants/"/>
    </mc:Choice>
  </mc:AlternateContent>
  <xr:revisionPtr revIDLastSave="0" documentId="13_ncr:1_{404189BE-2920-F64E-B761-4932068B3ECA}" xr6:coauthVersionLast="47" xr6:coauthVersionMax="47" xr10:uidLastSave="{00000000-0000-0000-0000-000000000000}"/>
  <bookViews>
    <workbookView xWindow="3040" yWindow="620" windowWidth="30480" windowHeight="18980" tabRatio="652" xr2:uid="{00000000-000D-0000-FFFF-FFFF00000000}"/>
  </bookViews>
  <sheets>
    <sheet name="Super Source File screaned" sheetId="7" r:id="rId1"/>
  </sheets>
  <definedNames>
    <definedName name="_xlnm.Print_Area" localSheetId="0">'Super Source File screaned'!$A:$F</definedName>
    <definedName name="_xlnm.Print_Titles" localSheetId="0">'Super Source File screaned'!$1:$3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7" l="1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4" i="7"/>
  <c r="F5" i="7"/>
</calcChain>
</file>

<file path=xl/sharedStrings.xml><?xml version="1.0" encoding="utf-8"?>
<sst xmlns="http://schemas.openxmlformats.org/spreadsheetml/2006/main" count="148" uniqueCount="143">
  <si>
    <t>Soil</t>
  </si>
  <si>
    <t>n°</t>
  </si>
  <si>
    <t xml:space="preserve">  24*</t>
  </si>
  <si>
    <t xml:space="preserve">  277*</t>
  </si>
  <si>
    <t xml:space="preserve">  292*</t>
  </si>
  <si>
    <t xml:space="preserve">  315*</t>
  </si>
  <si>
    <t xml:space="preserve">  316*</t>
  </si>
  <si>
    <t xml:space="preserve">  317*</t>
  </si>
  <si>
    <t xml:space="preserve">  320*</t>
  </si>
  <si>
    <t xml:space="preserve">  321*</t>
  </si>
  <si>
    <t xml:space="preserve">  456*</t>
  </si>
  <si>
    <t xml:space="preserve">  458*</t>
  </si>
  <si>
    <t xml:space="preserve">  461*</t>
  </si>
  <si>
    <t xml:space="preserve">  462*</t>
  </si>
  <si>
    <t xml:space="preserve">  467*</t>
  </si>
  <si>
    <t xml:space="preserve">  468*</t>
  </si>
  <si>
    <t xml:space="preserve">  473*</t>
  </si>
  <si>
    <t xml:space="preserve">  475*</t>
  </si>
  <si>
    <t xml:space="preserve">  478*</t>
  </si>
  <si>
    <t xml:space="preserve">  479*</t>
  </si>
  <si>
    <t xml:space="preserve">  481*</t>
  </si>
  <si>
    <t xml:space="preserve">  487*</t>
  </si>
  <si>
    <t xml:space="preserve">  498*</t>
  </si>
  <si>
    <t xml:space="preserve">  499*</t>
  </si>
  <si>
    <t xml:space="preserve">  503*</t>
  </si>
  <si>
    <t xml:space="preserve">  504*</t>
  </si>
  <si>
    <t xml:space="preserve">  506*</t>
  </si>
  <si>
    <t xml:space="preserve">  507*</t>
  </si>
  <si>
    <t xml:space="preserve">  514*</t>
  </si>
  <si>
    <t xml:space="preserve">  516*</t>
  </si>
  <si>
    <t xml:space="preserve">  517*</t>
  </si>
  <si>
    <t xml:space="preserve">  518*</t>
  </si>
  <si>
    <t xml:space="preserve">  523*</t>
  </si>
  <si>
    <t xml:space="preserve">  524*</t>
  </si>
  <si>
    <t xml:space="preserve">  527*</t>
  </si>
  <si>
    <t xml:space="preserve">  528*</t>
  </si>
  <si>
    <t xml:space="preserve">  573*</t>
  </si>
  <si>
    <t xml:space="preserve">  575*</t>
  </si>
  <si>
    <t xml:space="preserve">  577*</t>
  </si>
  <si>
    <t xml:space="preserve">  578*</t>
  </si>
  <si>
    <t xml:space="preserve">  579*</t>
  </si>
  <si>
    <t xml:space="preserve">  580*</t>
  </si>
  <si>
    <t xml:space="preserve">  589*</t>
  </si>
  <si>
    <t xml:space="preserve">  590*</t>
  </si>
  <si>
    <t xml:space="preserve">  594*</t>
  </si>
  <si>
    <t xml:space="preserve">  599*</t>
  </si>
  <si>
    <t xml:space="preserve">  616*</t>
  </si>
  <si>
    <t xml:space="preserve">  645*</t>
  </si>
  <si>
    <t xml:space="preserve">  700*</t>
  </si>
  <si>
    <t xml:space="preserve">  711*</t>
  </si>
  <si>
    <t xml:space="preserve">  712*</t>
  </si>
  <si>
    <t xml:space="preserve">  714*</t>
  </si>
  <si>
    <t xml:space="preserve">  731*</t>
  </si>
  <si>
    <t xml:space="preserve">  732*</t>
  </si>
  <si>
    <t xml:space="preserve">  733*</t>
  </si>
  <si>
    <t xml:space="preserve">  734*</t>
  </si>
  <si>
    <t xml:space="preserve">  735*</t>
  </si>
  <si>
    <t xml:space="preserve">  736*</t>
  </si>
  <si>
    <t xml:space="preserve">  737*</t>
  </si>
  <si>
    <t xml:space="preserve">  738*</t>
  </si>
  <si>
    <t xml:space="preserve">  739*</t>
  </si>
  <si>
    <t xml:space="preserve">  740*</t>
  </si>
  <si>
    <t xml:space="preserve">  741*</t>
  </si>
  <si>
    <t xml:space="preserve">  742*</t>
  </si>
  <si>
    <t xml:space="preserve">  743*</t>
  </si>
  <si>
    <t xml:space="preserve">  744*</t>
  </si>
  <si>
    <t xml:space="preserve">  745*</t>
  </si>
  <si>
    <t xml:space="preserve">  746*</t>
  </si>
  <si>
    <t xml:space="preserve">  747*</t>
  </si>
  <si>
    <t xml:space="preserve">  748*</t>
  </si>
  <si>
    <t xml:space="preserve">  749*</t>
  </si>
  <si>
    <t xml:space="preserve">  750*</t>
  </si>
  <si>
    <t xml:space="preserve">  751*</t>
  </si>
  <si>
    <t xml:space="preserve">  752*</t>
  </si>
  <si>
    <t xml:space="preserve">  753*</t>
  </si>
  <si>
    <t xml:space="preserve">  755*</t>
  </si>
  <si>
    <t xml:space="preserve">  759*</t>
  </si>
  <si>
    <t xml:space="preserve">  760*</t>
  </si>
  <si>
    <t xml:space="preserve">  761*</t>
  </si>
  <si>
    <t xml:space="preserve">  762*</t>
  </si>
  <si>
    <t xml:space="preserve">  763*</t>
  </si>
  <si>
    <t xml:space="preserve">  764*</t>
  </si>
  <si>
    <t xml:space="preserve">  765*</t>
  </si>
  <si>
    <t xml:space="preserve">  766*</t>
  </si>
  <si>
    <t xml:space="preserve">  767*</t>
  </si>
  <si>
    <t xml:space="preserve">  768*</t>
  </si>
  <si>
    <t xml:space="preserve">  769*</t>
  </si>
  <si>
    <t xml:space="preserve">  770*</t>
  </si>
  <si>
    <t xml:space="preserve">  771*</t>
  </si>
  <si>
    <t xml:space="preserve">  772*</t>
  </si>
  <si>
    <t xml:space="preserve">  773*</t>
  </si>
  <si>
    <t xml:space="preserve">  775*</t>
  </si>
  <si>
    <t xml:space="preserve">  777*</t>
  </si>
  <si>
    <t xml:space="preserve">  778*</t>
  </si>
  <si>
    <t xml:space="preserve">  779*</t>
  </si>
  <si>
    <t xml:space="preserve">  780*</t>
  </si>
  <si>
    <t xml:space="preserve">  781*</t>
  </si>
  <si>
    <t xml:space="preserve">  782*</t>
  </si>
  <si>
    <t xml:space="preserve">  783*</t>
  </si>
  <si>
    <t xml:space="preserve">  784*</t>
  </si>
  <si>
    <t xml:space="preserve">  785*</t>
  </si>
  <si>
    <t xml:space="preserve">  786*</t>
  </si>
  <si>
    <t xml:space="preserve">  787*</t>
  </si>
  <si>
    <t xml:space="preserve">  788*</t>
  </si>
  <si>
    <t xml:space="preserve">  794*</t>
  </si>
  <si>
    <t xml:space="preserve">  795*</t>
  </si>
  <si>
    <t xml:space="preserve">  796*</t>
  </si>
  <si>
    <t xml:space="preserve">  797*</t>
  </si>
  <si>
    <t xml:space="preserve">  798*</t>
  </si>
  <si>
    <t xml:space="preserve">  799*</t>
  </si>
  <si>
    <t xml:space="preserve">  800*</t>
  </si>
  <si>
    <t xml:space="preserve">  801*</t>
  </si>
  <si>
    <t xml:space="preserve">  802*</t>
  </si>
  <si>
    <t xml:space="preserve">  803*</t>
  </si>
  <si>
    <t xml:space="preserve">  804*</t>
  </si>
  <si>
    <t xml:space="preserve">  806*</t>
  </si>
  <si>
    <t xml:space="preserve">  811*</t>
  </si>
  <si>
    <t xml:space="preserve">  812*</t>
  </si>
  <si>
    <t xml:space="preserve">  813*</t>
  </si>
  <si>
    <t xml:space="preserve">  814*</t>
  </si>
  <si>
    <t xml:space="preserve">  815*</t>
  </si>
  <si>
    <t xml:space="preserve">  816*</t>
  </si>
  <si>
    <t xml:space="preserve">  817*</t>
  </si>
  <si>
    <t xml:space="preserve">  818*</t>
  </si>
  <si>
    <t xml:space="preserve">  820*</t>
  </si>
  <si>
    <t xml:space="preserve">  821*</t>
  </si>
  <si>
    <t xml:space="preserve">  822*</t>
  </si>
  <si>
    <t xml:space="preserve">  824*</t>
  </si>
  <si>
    <t xml:space="preserve">  826*</t>
  </si>
  <si>
    <t xml:space="preserve">  827*</t>
  </si>
  <si>
    <t xml:space="preserve">  828*</t>
  </si>
  <si>
    <t xml:space="preserve">  829*</t>
  </si>
  <si>
    <t xml:space="preserve">  830*</t>
  </si>
  <si>
    <t xml:space="preserve">  831*</t>
  </si>
  <si>
    <t xml:space="preserve">  832*</t>
  </si>
  <si>
    <t>Clay</t>
  </si>
  <si>
    <t>Silt</t>
  </si>
  <si>
    <t>Sand</t>
  </si>
  <si>
    <t>fraction</t>
  </si>
  <si>
    <r>
      <t>(cm</t>
    </r>
    <r>
      <rPr>
        <b/>
        <vertAlign val="superscript"/>
        <sz val="11"/>
        <rFont val="CG Times"/>
        <family val="1"/>
      </rPr>
      <t>3</t>
    </r>
    <r>
      <rPr>
        <b/>
        <sz val="11"/>
        <rFont val="CG Times"/>
      </rPr>
      <t>/cm</t>
    </r>
    <r>
      <rPr>
        <b/>
        <vertAlign val="superscript"/>
        <sz val="11"/>
        <rFont val="CG Times"/>
        <family val="1"/>
      </rPr>
      <t>3</t>
    </r>
    <r>
      <rPr>
        <b/>
        <sz val="11"/>
        <rFont val="CG Times"/>
      </rPr>
      <t>)</t>
    </r>
  </si>
  <si>
    <t>( % )</t>
  </si>
  <si>
    <t>Porosity</t>
  </si>
  <si>
    <t>Orgaic Matter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</si>
</sst>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2">
    <font>
      <sz val="10"/>
      <name val="CG Times"/>
    </font>
    <font>
      <b/>
      <sz val="10"/>
      <name val="MS Sans Serif"/>
    </font>
    <font>
      <b/>
      <sz val="11"/>
      <name val="CG Times"/>
    </font>
    <font>
      <sz val="10"/>
      <name val="CG Times"/>
    </font>
    <font>
      <sz val="10"/>
      <name val="CG Times"/>
    </font>
    <font>
      <b/>
      <sz val="10"/>
      <name val="CG Times"/>
    </font>
    <font>
      <sz val="10"/>
      <name val="CG Times"/>
    </font>
    <font>
      <sz val="10"/>
      <name val="CG Times"/>
    </font>
    <font>
      <b/>
      <sz val="12"/>
      <name val="CG Times"/>
      <family val="1"/>
    </font>
    <font>
      <b/>
      <vertAlign val="superscript"/>
      <sz val="11"/>
      <name val="CG Times"/>
      <family val="1"/>
    </font>
    <font>
      <sz val="10"/>
      <name val="CG Times"/>
    </font>
    <font>
      <b/>
      <sz val="12"/>
      <name val="CG Times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ouble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ouble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ouble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</borders>
  <cellStyleXfs count="2">
    <xf numFmtId="0" fontId="0" fillId="0" borderId="1">
      <alignment horizontal="center"/>
    </xf>
    <xf numFmtId="0" fontId="4" fillId="0" borderId="2" applyNumberFormat="0" applyBorder="0" applyAlignment="0">
      <alignment horizontal="centerContinuous"/>
    </xf>
  </cellStyleXfs>
  <cellXfs count="58">
    <xf numFmtId="0" fontId="0" fillId="0" borderId="1" xfId="0">
      <alignment horizontal="center"/>
    </xf>
    <xf numFmtId="0" fontId="1" fillId="0" borderId="1" xfId="0" applyFont="1">
      <alignment horizontal="center"/>
    </xf>
    <xf numFmtId="164" fontId="0" fillId="0" borderId="3" xfId="0" applyNumberFormat="1" applyBorder="1" applyAlignment="1">
      <alignment horizontal="centerContinuous"/>
    </xf>
    <xf numFmtId="0" fontId="0" fillId="0" borderId="4" xfId="0" applyBorder="1" applyAlignment="1">
      <alignment horizontal="centerContinuous"/>
    </xf>
    <xf numFmtId="164" fontId="0" fillId="0" borderId="0" xfId="0" applyNumberFormat="1" applyBorder="1" applyAlignment="1">
      <alignment horizontal="centerContinuous"/>
    </xf>
    <xf numFmtId="0" fontId="0" fillId="0" borderId="0" xfId="0" applyBorder="1" applyAlignment="1">
      <alignment horizontal="centerContinuous"/>
    </xf>
    <xf numFmtId="166" fontId="0" fillId="0" borderId="0" xfId="0" applyNumberFormat="1" applyBorder="1" applyAlignment="1">
      <alignment horizontal="centerContinuous"/>
    </xf>
    <xf numFmtId="0" fontId="0" fillId="0" borderId="0" xfId="0" applyBorder="1">
      <alignment horizontal="center"/>
    </xf>
    <xf numFmtId="165" fontId="0" fillId="0" borderId="0" xfId="0" applyNumberFormat="1" applyBorder="1" applyAlignment="1">
      <alignment horizontal="centerContinuous"/>
    </xf>
    <xf numFmtId="0" fontId="4" fillId="0" borderId="9" xfId="0" applyFont="1" applyBorder="1">
      <alignment horizontal="center"/>
    </xf>
    <xf numFmtId="0" fontId="4" fillId="0" borderId="10" xfId="0" applyFont="1" applyBorder="1">
      <alignment horizontal="center"/>
    </xf>
    <xf numFmtId="0" fontId="7" fillId="0" borderId="10" xfId="0" applyFont="1" applyBorder="1">
      <alignment horizontal="center"/>
    </xf>
    <xf numFmtId="0" fontId="6" fillId="0" borderId="10" xfId="0" applyFont="1" applyBorder="1">
      <alignment horizontal="center"/>
    </xf>
    <xf numFmtId="0" fontId="10" fillId="0" borderId="10" xfId="0" applyFont="1" applyBorder="1">
      <alignment horizontal="center"/>
    </xf>
    <xf numFmtId="0" fontId="5" fillId="0" borderId="10" xfId="0" applyFont="1" applyBorder="1">
      <alignment horizontal="center"/>
    </xf>
    <xf numFmtId="0" fontId="10" fillId="0" borderId="12" xfId="0" applyFont="1" applyBorder="1">
      <alignment horizontal="center"/>
    </xf>
    <xf numFmtId="0" fontId="0" fillId="0" borderId="13" xfId="0" applyBorder="1">
      <alignment horizontal="center"/>
    </xf>
    <xf numFmtId="0" fontId="8" fillId="0" borderId="14" xfId="0" applyFont="1" applyBorder="1">
      <alignment horizontal="center"/>
    </xf>
    <xf numFmtId="0" fontId="8" fillId="0" borderId="15" xfId="0" applyFont="1" applyBorder="1" applyAlignment="1">
      <alignment horizontal="center" vertical="top"/>
    </xf>
    <xf numFmtId="0" fontId="0" fillId="0" borderId="16" xfId="0" applyBorder="1">
      <alignment horizontal="center"/>
    </xf>
    <xf numFmtId="0" fontId="0" fillId="0" borderId="14" xfId="0" applyBorder="1">
      <alignment horizontal="center"/>
    </xf>
    <xf numFmtId="0" fontId="4" fillId="0" borderId="14" xfId="0" applyFont="1" applyBorder="1">
      <alignment horizontal="center"/>
    </xf>
    <xf numFmtId="0" fontId="7" fillId="0" borderId="14" xfId="0" applyFont="1" applyBorder="1">
      <alignment horizontal="center"/>
    </xf>
    <xf numFmtId="0" fontId="6" fillId="0" borderId="14" xfId="0" applyFont="1" applyBorder="1">
      <alignment horizontal="center"/>
    </xf>
    <xf numFmtId="0" fontId="10" fillId="0" borderId="14" xfId="0" applyFont="1" applyBorder="1">
      <alignment horizontal="center"/>
    </xf>
    <xf numFmtId="0" fontId="10" fillId="0" borderId="15" xfId="0" applyFont="1" applyBorder="1">
      <alignment horizontal="center"/>
    </xf>
    <xf numFmtId="165" fontId="0" fillId="0" borderId="1" xfId="0" applyNumberFormat="1" applyAlignment="1">
      <alignment horizontal="centerContinuous"/>
    </xf>
    <xf numFmtId="165" fontId="11" fillId="0" borderId="6" xfId="0" applyNumberFormat="1" applyFont="1" applyBorder="1">
      <alignment horizontal="center"/>
    </xf>
    <xf numFmtId="165" fontId="11" fillId="0" borderId="17" xfId="0" applyNumberFormat="1" applyFont="1" applyBorder="1">
      <alignment horizontal="center"/>
    </xf>
    <xf numFmtId="164" fontId="2" fillId="0" borderId="5" xfId="0" applyNumberFormat="1" applyFont="1" applyBorder="1" applyAlignment="1">
      <alignment horizontal="center" vertical="top"/>
    </xf>
    <xf numFmtId="164" fontId="2" fillId="0" borderId="7" xfId="0" applyNumberFormat="1" applyFont="1" applyBorder="1" applyAlignment="1">
      <alignment horizontal="center" vertical="top"/>
    </xf>
    <xf numFmtId="0" fontId="2" fillId="0" borderId="18" xfId="0" applyFont="1" applyBorder="1">
      <alignment horizontal="center"/>
    </xf>
    <xf numFmtId="165" fontId="0" fillId="0" borderId="19" xfId="0" applyNumberFormat="1" applyBorder="1" applyAlignment="1">
      <alignment horizontal="centerContinuous"/>
    </xf>
    <xf numFmtId="164" fontId="4" fillId="0" borderId="20" xfId="1" applyNumberFormat="1" applyBorder="1" applyAlignment="1">
      <alignment horizontal="centerContinuous"/>
    </xf>
    <xf numFmtId="165" fontId="11" fillId="0" borderId="21" xfId="0" applyNumberFormat="1" applyFont="1" applyBorder="1">
      <alignment horizontal="center"/>
    </xf>
    <xf numFmtId="0" fontId="4" fillId="0" borderId="0" xfId="0" applyFont="1" applyBorder="1">
      <alignment horizontal="center"/>
    </xf>
    <xf numFmtId="0" fontId="7" fillId="0" borderId="0" xfId="0" applyFont="1" applyBorder="1">
      <alignment horizontal="center"/>
    </xf>
    <xf numFmtId="0" fontId="6" fillId="0" borderId="0" xfId="0" applyFont="1" applyBorder="1">
      <alignment horizontal="center"/>
    </xf>
    <xf numFmtId="0" fontId="10" fillId="0" borderId="0" xfId="0" applyFont="1" applyBorder="1">
      <alignment horizontal="center"/>
    </xf>
    <xf numFmtId="0" fontId="5" fillId="0" borderId="0" xfId="0" applyFont="1" applyBorder="1">
      <alignment horizontal="center"/>
    </xf>
    <xf numFmtId="0" fontId="1" fillId="0" borderId="0" xfId="0" applyFont="1" applyBorder="1">
      <alignment horizontal="center"/>
    </xf>
    <xf numFmtId="2" fontId="3" fillId="0" borderId="11" xfId="0" applyNumberFormat="1" applyFont="1" applyBorder="1">
      <alignment horizontal="center"/>
    </xf>
    <xf numFmtId="165" fontId="3" fillId="0" borderId="11" xfId="0" applyNumberFormat="1" applyFont="1" applyBorder="1">
      <alignment horizontal="center"/>
    </xf>
    <xf numFmtId="166" fontId="4" fillId="0" borderId="8" xfId="0" applyNumberFormat="1" applyFont="1" applyBorder="1">
      <alignment horizontal="center"/>
    </xf>
    <xf numFmtId="2" fontId="3" fillId="0" borderId="22" xfId="0" applyNumberFormat="1" applyFont="1" applyBorder="1">
      <alignment horizontal="center"/>
    </xf>
    <xf numFmtId="0" fontId="2" fillId="0" borderId="0" xfId="0" applyFont="1" applyBorder="1">
      <alignment horizontal="center"/>
    </xf>
    <xf numFmtId="0" fontId="8" fillId="0" borderId="0" xfId="0" applyFont="1" applyBorder="1">
      <alignment horizontal="center"/>
    </xf>
    <xf numFmtId="0" fontId="8" fillId="0" borderId="0" xfId="0" applyFont="1" applyBorder="1" applyAlignment="1">
      <alignment horizontal="center" vertical="top"/>
    </xf>
    <xf numFmtId="2" fontId="3" fillId="0" borderId="23" xfId="0" applyNumberFormat="1" applyFont="1" applyBorder="1">
      <alignment horizontal="center"/>
    </xf>
    <xf numFmtId="165" fontId="3" fillId="0" borderId="23" xfId="0" applyNumberFormat="1" applyFont="1" applyBorder="1">
      <alignment horizontal="center"/>
    </xf>
    <xf numFmtId="166" fontId="4" fillId="0" borderId="24" xfId="0" applyNumberFormat="1" applyFont="1" applyBorder="1">
      <alignment horizontal="center"/>
    </xf>
    <xf numFmtId="2" fontId="3" fillId="0" borderId="25" xfId="0" applyNumberFormat="1" applyFont="1" applyBorder="1">
      <alignment horizontal="center"/>
    </xf>
    <xf numFmtId="166" fontId="10" fillId="0" borderId="8" xfId="0" applyNumberFormat="1" applyFont="1" applyBorder="1">
      <alignment horizontal="center"/>
    </xf>
    <xf numFmtId="2" fontId="3" fillId="0" borderId="26" xfId="0" applyNumberFormat="1" applyFont="1" applyBorder="1">
      <alignment horizontal="center"/>
    </xf>
    <xf numFmtId="165" fontId="3" fillId="0" borderId="26" xfId="0" applyNumberFormat="1" applyFont="1" applyBorder="1">
      <alignment horizontal="center"/>
    </xf>
    <xf numFmtId="166" fontId="10" fillId="0" borderId="27" xfId="0" applyNumberFormat="1" applyFont="1" applyBorder="1">
      <alignment horizontal="center"/>
    </xf>
    <xf numFmtId="2" fontId="3" fillId="0" borderId="28" xfId="0" applyNumberFormat="1" applyFont="1" applyBorder="1">
      <alignment horizontal="center"/>
    </xf>
    <xf numFmtId="165" fontId="8" fillId="0" borderId="6" xfId="0" applyNumberFormat="1" applyFont="1" applyBorder="1">
      <alignment horizontal="center"/>
    </xf>
  </cellXfs>
  <cellStyles count="2">
    <cellStyle name="Normal" xfId="0" builtinId="0"/>
    <cellStyle name="special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7171" name="Texte 3">
          <a:extLst>
            <a:ext uri="{FF2B5EF4-FFF2-40B4-BE49-F238E27FC236}">
              <a16:creationId xmlns:a16="http://schemas.microsoft.com/office/drawing/2014/main" id="{28EDBEA0-668F-04D2-177E-C720BCDA5115}"/>
            </a:ext>
          </a:extLst>
        </xdr:cNvPr>
        <xdr:cNvSpPr txBox="1">
          <a:spLocks noChangeArrowheads="1"/>
        </xdr:cNvSpPr>
      </xdr:nvSpPr>
      <xdr:spPr bwMode="auto">
        <a:xfrm>
          <a:off x="19459575" y="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CG Times" charset="0"/>
            </a:rPr>
            <a:t>Table 3 : </a:t>
          </a:r>
        </a:p>
      </xdr:txBody>
    </xdr:sp>
    <xdr:clientData/>
  </xdr:twoCellAnchor>
  <xdr:twoCellAnchor>
    <xdr:from>
      <xdr:col>6</xdr:col>
      <xdr:colOff>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7174" name="Texte 3">
          <a:extLst>
            <a:ext uri="{FF2B5EF4-FFF2-40B4-BE49-F238E27FC236}">
              <a16:creationId xmlns:a16="http://schemas.microsoft.com/office/drawing/2014/main" id="{1DD600E6-B0DE-F971-2A76-84E83A5A0527}"/>
            </a:ext>
          </a:extLst>
        </xdr:cNvPr>
        <xdr:cNvSpPr txBox="1">
          <a:spLocks noChangeArrowheads="1"/>
        </xdr:cNvSpPr>
      </xdr:nvSpPr>
      <xdr:spPr bwMode="auto">
        <a:xfrm>
          <a:off x="7267575" y="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CG Times" charset="0"/>
            </a:rPr>
            <a:t>Table 3 : </a:t>
          </a:r>
        </a:p>
      </xdr:txBody>
    </xdr:sp>
    <xdr:clientData/>
  </xdr:twoCellAnchor>
  <xdr:twoCellAnchor>
    <xdr:from>
      <xdr:col>6</xdr:col>
      <xdr:colOff>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7177" name="Texte 3">
          <a:extLst>
            <a:ext uri="{FF2B5EF4-FFF2-40B4-BE49-F238E27FC236}">
              <a16:creationId xmlns:a16="http://schemas.microsoft.com/office/drawing/2014/main" id="{091EA03E-B71A-B2AD-C8DA-18F4F7FF3644}"/>
            </a:ext>
          </a:extLst>
        </xdr:cNvPr>
        <xdr:cNvSpPr txBox="1">
          <a:spLocks noChangeArrowheads="1"/>
        </xdr:cNvSpPr>
      </xdr:nvSpPr>
      <xdr:spPr bwMode="auto">
        <a:xfrm>
          <a:off x="34337625" y="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CG Times" charset="0"/>
            </a:rPr>
            <a:t>Table 3 : </a:t>
          </a:r>
        </a:p>
      </xdr:txBody>
    </xdr:sp>
    <xdr:clientData/>
  </xdr:twoCellAnchor>
  <xdr:twoCellAnchor>
    <xdr:from>
      <xdr:col>6</xdr:col>
      <xdr:colOff>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7178" name="Texte 3">
          <a:extLst>
            <a:ext uri="{FF2B5EF4-FFF2-40B4-BE49-F238E27FC236}">
              <a16:creationId xmlns:a16="http://schemas.microsoft.com/office/drawing/2014/main" id="{E6013507-74DB-DA11-D5B3-46976BDAD622}"/>
            </a:ext>
          </a:extLst>
        </xdr:cNvPr>
        <xdr:cNvSpPr txBox="1">
          <a:spLocks noChangeArrowheads="1"/>
        </xdr:cNvSpPr>
      </xdr:nvSpPr>
      <xdr:spPr bwMode="auto">
        <a:xfrm>
          <a:off x="34337625" y="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CG Times" charset="0"/>
            </a:rPr>
            <a:t>Table 3 : </a:t>
          </a:r>
        </a:p>
      </xdr:txBody>
    </xdr:sp>
    <xdr:clientData/>
  </xdr:twoCellAnchor>
  <xdr:twoCellAnchor>
    <xdr:from>
      <xdr:col>6</xdr:col>
      <xdr:colOff>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7181" name="Texte 3">
          <a:extLst>
            <a:ext uri="{FF2B5EF4-FFF2-40B4-BE49-F238E27FC236}">
              <a16:creationId xmlns:a16="http://schemas.microsoft.com/office/drawing/2014/main" id="{F8790F62-A5AC-FF69-3D7A-F04E12FB3CF8}"/>
            </a:ext>
          </a:extLst>
        </xdr:cNvPr>
        <xdr:cNvSpPr txBox="1">
          <a:spLocks noChangeArrowheads="1"/>
        </xdr:cNvSpPr>
      </xdr:nvSpPr>
      <xdr:spPr bwMode="auto">
        <a:xfrm>
          <a:off x="29365575" y="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CG Times" charset="0"/>
            </a:rPr>
            <a:t>Table 3 :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98"/>
  <sheetViews>
    <sheetView tabSelected="1" zoomScale="75" workbookViewId="0">
      <selection activeCell="B3" sqref="B3"/>
    </sheetView>
  </sheetViews>
  <sheetFormatPr baseColWidth="10" defaultColWidth="12" defaultRowHeight="13"/>
  <cols>
    <col min="1" max="1" width="5.796875" style="3" customWidth="1"/>
    <col min="2" max="2" width="17.59765625" style="26" bestFit="1" customWidth="1"/>
    <col min="3" max="3" width="13.19921875" style="2" customWidth="1"/>
    <col min="4" max="4" width="10.796875" style="26" customWidth="1"/>
    <col min="5" max="5" width="11.19921875" style="26" customWidth="1"/>
    <col min="6" max="6" width="11.3984375" style="26" customWidth="1"/>
    <col min="7" max="7" width="11.796875" style="5" customWidth="1"/>
    <col min="8" max="45" width="12" style="7"/>
  </cols>
  <sheetData>
    <row r="1" spans="1:45" ht="16">
      <c r="A1" s="31"/>
      <c r="B1" s="32"/>
      <c r="C1" s="33"/>
      <c r="D1" s="34" t="s">
        <v>135</v>
      </c>
      <c r="E1" s="28" t="s">
        <v>136</v>
      </c>
      <c r="F1" s="28" t="s">
        <v>137</v>
      </c>
      <c r="G1" s="45"/>
    </row>
    <row r="2" spans="1:45" s="1" customFormat="1" ht="16">
      <c r="A2" s="17" t="s">
        <v>0</v>
      </c>
      <c r="B2" s="57" t="s">
        <v>142</v>
      </c>
      <c r="C2" s="27" t="s">
        <v>141</v>
      </c>
      <c r="D2" s="28" t="s">
        <v>138</v>
      </c>
      <c r="E2" s="28" t="s">
        <v>138</v>
      </c>
      <c r="F2" s="28" t="s">
        <v>138</v>
      </c>
      <c r="G2" s="46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</row>
    <row r="3" spans="1:45" s="1" customFormat="1" ht="20.25" customHeight="1">
      <c r="A3" s="18" t="s">
        <v>1</v>
      </c>
      <c r="B3" s="30" t="s">
        <v>140</v>
      </c>
      <c r="C3" s="29" t="s">
        <v>139</v>
      </c>
      <c r="D3" s="30" t="s">
        <v>140</v>
      </c>
      <c r="E3" s="30" t="s">
        <v>140</v>
      </c>
      <c r="F3" s="30" t="s">
        <v>140</v>
      </c>
      <c r="G3" s="47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</row>
    <row r="4" spans="1:45" s="9" customFormat="1">
      <c r="A4" s="19">
        <v>1</v>
      </c>
      <c r="B4" s="49">
        <v>0</v>
      </c>
      <c r="C4" s="50">
        <v>0.47199999999999998</v>
      </c>
      <c r="D4" s="48">
        <v>39.946128918811141</v>
      </c>
      <c r="E4" s="48">
        <v>36.219269233031312</v>
      </c>
      <c r="F4" s="51">
        <f>100-D4-E4</f>
        <v>23.834601848157547</v>
      </c>
      <c r="G4" s="7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</row>
    <row r="5" spans="1:45" s="10" customFormat="1">
      <c r="A5" s="20">
        <v>2</v>
      </c>
      <c r="B5" s="42">
        <v>0</v>
      </c>
      <c r="C5" s="43">
        <v>0.442</v>
      </c>
      <c r="D5" s="41">
        <v>23.274196482428611</v>
      </c>
      <c r="E5" s="41">
        <v>38.244929755894049</v>
      </c>
      <c r="F5" s="44">
        <f t="shared" ref="F5:F68" si="0">100-D5-E5</f>
        <v>38.480873761677344</v>
      </c>
      <c r="G5" s="7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</row>
    <row r="6" spans="1:45" s="10" customFormat="1">
      <c r="A6" s="20">
        <v>3</v>
      </c>
      <c r="B6" s="42">
        <v>0</v>
      </c>
      <c r="C6" s="43">
        <v>0.42599999999999999</v>
      </c>
      <c r="D6" s="41">
        <v>10.570483261800408</v>
      </c>
      <c r="E6" s="41">
        <v>35.608845554329648</v>
      </c>
      <c r="F6" s="44">
        <f t="shared" si="0"/>
        <v>53.820671183869948</v>
      </c>
      <c r="G6" s="7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</row>
    <row r="7" spans="1:45" s="10" customFormat="1">
      <c r="A7" s="20">
        <v>4</v>
      </c>
      <c r="B7" s="42">
        <v>0</v>
      </c>
      <c r="C7" s="43">
        <v>0.45300000000000001</v>
      </c>
      <c r="D7" s="41">
        <v>28.89719944098184</v>
      </c>
      <c r="E7" s="41">
        <v>36.386997467783431</v>
      </c>
      <c r="F7" s="44">
        <f t="shared" si="0"/>
        <v>34.715803091234733</v>
      </c>
      <c r="G7" s="7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</row>
    <row r="8" spans="1:45" s="10" customFormat="1">
      <c r="A8" s="20">
        <v>5</v>
      </c>
      <c r="B8" s="42">
        <v>0</v>
      </c>
      <c r="C8" s="43">
        <v>0.35699999999999998</v>
      </c>
      <c r="D8" s="41">
        <v>1.4660094718984258E-5</v>
      </c>
      <c r="E8" s="41">
        <v>0.12955951594130891</v>
      </c>
      <c r="F8" s="44">
        <f t="shared" si="0"/>
        <v>99.87042582396397</v>
      </c>
      <c r="G8" s="7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</row>
    <row r="9" spans="1:45" s="10" customFormat="1">
      <c r="A9" s="20">
        <v>6</v>
      </c>
      <c r="B9" s="42">
        <v>0</v>
      </c>
      <c r="C9" s="43">
        <v>0.38400000000000001</v>
      </c>
      <c r="D9" s="41">
        <v>5.1461554258692071E-5</v>
      </c>
      <c r="E9" s="41">
        <v>0.35837907516982381</v>
      </c>
      <c r="F9" s="44">
        <f t="shared" si="0"/>
        <v>99.641569463275914</v>
      </c>
      <c r="G9" s="7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</row>
    <row r="10" spans="1:45" s="10" customFormat="1">
      <c r="A10" s="20">
        <v>7</v>
      </c>
      <c r="B10" s="42">
        <v>0</v>
      </c>
      <c r="C10" s="43">
        <v>0.35399999999999998</v>
      </c>
      <c r="D10" s="41">
        <v>4.5123377624130349E-4</v>
      </c>
      <c r="E10" s="41">
        <v>0.82855833355412722</v>
      </c>
      <c r="F10" s="44">
        <f t="shared" si="0"/>
        <v>99.170990432669626</v>
      </c>
      <c r="G10" s="7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</row>
    <row r="11" spans="1:45" s="11" customFormat="1">
      <c r="A11" s="21">
        <v>8</v>
      </c>
      <c r="B11" s="42">
        <v>0</v>
      </c>
      <c r="C11" s="43">
        <v>0.43</v>
      </c>
      <c r="D11" s="41">
        <v>1.5021917636034291E-7</v>
      </c>
      <c r="E11" s="41">
        <v>9.3880291542255065E-2</v>
      </c>
      <c r="F11" s="44">
        <f t="shared" si="0"/>
        <v>99.906119558238572</v>
      </c>
      <c r="G11" s="35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</row>
    <row r="12" spans="1:45" s="11" customFormat="1">
      <c r="A12" s="22">
        <v>9</v>
      </c>
      <c r="B12" s="42">
        <v>0</v>
      </c>
      <c r="C12" s="43">
        <v>0.40799999999999997</v>
      </c>
      <c r="D12" s="41">
        <v>3.9729002659564677E-9</v>
      </c>
      <c r="E12" s="41">
        <v>3.8055285161073427E-2</v>
      </c>
      <c r="F12" s="44">
        <f t="shared" si="0"/>
        <v>99.961944710866021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</row>
    <row r="13" spans="1:45" s="11" customFormat="1">
      <c r="A13" s="22">
        <v>10</v>
      </c>
      <c r="B13" s="42">
        <v>0</v>
      </c>
      <c r="C13" s="43">
        <v>0.38500000000000001</v>
      </c>
      <c r="D13" s="41">
        <v>7.7494794632585807E-5</v>
      </c>
      <c r="E13" s="41">
        <v>0.51753970111339309</v>
      </c>
      <c r="F13" s="44">
        <f t="shared" si="0"/>
        <v>99.482382804091969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</row>
    <row r="14" spans="1:45" s="10" customFormat="1">
      <c r="A14" s="20">
        <v>11</v>
      </c>
      <c r="B14" s="42">
        <v>0</v>
      </c>
      <c r="C14" s="43">
        <v>0.38500000000000001</v>
      </c>
      <c r="D14" s="41">
        <v>5.1494530773342689E-11</v>
      </c>
      <c r="E14" s="41">
        <v>3.469164261298494E-3</v>
      </c>
      <c r="F14" s="44">
        <f t="shared" si="0"/>
        <v>99.996530835687196</v>
      </c>
      <c r="G14" s="7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</row>
    <row r="15" spans="1:45" s="10" customFormat="1">
      <c r="A15" s="20">
        <v>12</v>
      </c>
      <c r="B15" s="42">
        <v>0</v>
      </c>
      <c r="C15" s="43">
        <v>0.37</v>
      </c>
      <c r="D15" s="41">
        <v>3.2872308406559623E-4</v>
      </c>
      <c r="E15" s="41">
        <v>0.74655710068389447</v>
      </c>
      <c r="F15" s="44">
        <f t="shared" si="0"/>
        <v>99.253114176232032</v>
      </c>
      <c r="G15" s="7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</row>
    <row r="16" spans="1:45" s="11" customFormat="1">
      <c r="A16" s="21">
        <v>13</v>
      </c>
      <c r="B16" s="42">
        <v>0</v>
      </c>
      <c r="C16" s="43">
        <v>0.65300000000000002</v>
      </c>
      <c r="D16" s="41">
        <v>0.16630887910088626</v>
      </c>
      <c r="E16" s="41">
        <v>3.8726091728469623</v>
      </c>
      <c r="F16" s="44">
        <f t="shared" si="0"/>
        <v>95.961081948052154</v>
      </c>
      <c r="G16" s="35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</row>
    <row r="17" spans="1:45" s="10" customFormat="1">
      <c r="A17" s="20">
        <v>14</v>
      </c>
      <c r="B17" s="42">
        <v>0</v>
      </c>
      <c r="C17" s="43">
        <v>0.502</v>
      </c>
      <c r="D17" s="41">
        <v>27.023932999270411</v>
      </c>
      <c r="E17" s="41">
        <v>50.747368020105881</v>
      </c>
      <c r="F17" s="44">
        <f t="shared" si="0"/>
        <v>22.228698980623705</v>
      </c>
      <c r="G17" s="7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</row>
    <row r="18" spans="1:45" s="10" customFormat="1">
      <c r="A18" s="20">
        <v>15</v>
      </c>
      <c r="B18" s="42">
        <v>0</v>
      </c>
      <c r="C18" s="43">
        <v>0.52600000000000002</v>
      </c>
      <c r="D18" s="41">
        <v>33.94</v>
      </c>
      <c r="E18" s="41">
        <v>28.34</v>
      </c>
      <c r="F18" s="44">
        <f t="shared" si="0"/>
        <v>37.72</v>
      </c>
      <c r="G18" s="7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</row>
    <row r="19" spans="1:45" s="11" customFormat="1">
      <c r="A19" s="21">
        <v>16</v>
      </c>
      <c r="B19" s="42">
        <v>0</v>
      </c>
      <c r="C19" s="43">
        <v>0.57599999999999996</v>
      </c>
      <c r="D19" s="41">
        <v>20.647304896635905</v>
      </c>
      <c r="E19" s="41">
        <v>39.231277649862193</v>
      </c>
      <c r="F19" s="44">
        <f t="shared" si="0"/>
        <v>40.121417453501905</v>
      </c>
      <c r="G19" s="35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</row>
    <row r="20" spans="1:45" s="12" customFormat="1">
      <c r="A20" s="20">
        <v>17</v>
      </c>
      <c r="B20" s="42">
        <v>0</v>
      </c>
      <c r="C20" s="43">
        <v>0.433</v>
      </c>
      <c r="D20" s="41">
        <v>0.20679622218313529</v>
      </c>
      <c r="E20" s="41">
        <v>11.789351411384098</v>
      </c>
      <c r="F20" s="44">
        <f t="shared" si="0"/>
        <v>88.003852366432767</v>
      </c>
      <c r="G20" s="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</row>
    <row r="21" spans="1:45" s="10" customFormat="1">
      <c r="A21" s="20">
        <v>18</v>
      </c>
      <c r="B21" s="42">
        <v>0</v>
      </c>
      <c r="C21" s="43">
        <v>0.442</v>
      </c>
      <c r="D21" s="41">
        <v>3.6915835853595218</v>
      </c>
      <c r="E21" s="41">
        <v>27.330355902449714</v>
      </c>
      <c r="F21" s="44">
        <f t="shared" si="0"/>
        <v>68.978060512190766</v>
      </c>
      <c r="G21" s="7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</row>
    <row r="22" spans="1:45" s="10" customFormat="1">
      <c r="A22" s="20">
        <v>19</v>
      </c>
      <c r="B22" s="42">
        <v>0</v>
      </c>
      <c r="C22" s="43">
        <v>0.441</v>
      </c>
      <c r="D22" s="41">
        <v>11.243381847893739</v>
      </c>
      <c r="E22" s="41">
        <v>23.440134376820325</v>
      </c>
      <c r="F22" s="44">
        <f t="shared" si="0"/>
        <v>65.316483775285931</v>
      </c>
      <c r="G22" s="7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</row>
    <row r="23" spans="1:45" s="10" customFormat="1">
      <c r="A23" s="20">
        <v>20</v>
      </c>
      <c r="B23" s="42">
        <v>0</v>
      </c>
      <c r="C23" s="43">
        <v>0.40200000000000002</v>
      </c>
      <c r="D23" s="41">
        <v>0.43057189062172785</v>
      </c>
      <c r="E23" s="41">
        <v>15.174817079031058</v>
      </c>
      <c r="F23" s="44">
        <f t="shared" si="0"/>
        <v>84.394611030347221</v>
      </c>
      <c r="G23" s="7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</row>
    <row r="24" spans="1:45" s="10" customFormat="1">
      <c r="A24" s="20">
        <v>21</v>
      </c>
      <c r="B24" s="42">
        <v>0</v>
      </c>
      <c r="C24" s="43">
        <v>0.39400000000000002</v>
      </c>
      <c r="D24" s="41">
        <v>3.2770572506798931E-11</v>
      </c>
      <c r="E24" s="41">
        <v>1.806338456221997E-2</v>
      </c>
      <c r="F24" s="44">
        <f t="shared" si="0"/>
        <v>99.981936615405004</v>
      </c>
      <c r="G24" s="7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</row>
    <row r="25" spans="1:45" s="10" customFormat="1">
      <c r="A25" s="20">
        <v>22</v>
      </c>
      <c r="B25" s="42">
        <v>0</v>
      </c>
      <c r="C25" s="43">
        <v>0.39100000000000001</v>
      </c>
      <c r="D25" s="41">
        <v>5.0815677010542154E-13</v>
      </c>
      <c r="E25" s="41">
        <v>2.5650681306678825E-3</v>
      </c>
      <c r="F25" s="44">
        <f t="shared" si="0"/>
        <v>99.997434931868824</v>
      </c>
      <c r="G25" s="7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</row>
    <row r="26" spans="1:45" s="10" customFormat="1">
      <c r="A26" s="20">
        <v>23</v>
      </c>
      <c r="B26" s="42">
        <v>0</v>
      </c>
      <c r="C26" s="43">
        <v>0.44900000000000001</v>
      </c>
      <c r="D26" s="41">
        <v>9.6438658996101179</v>
      </c>
      <c r="E26" s="41">
        <v>43.413393212657198</v>
      </c>
      <c r="F26" s="44">
        <f t="shared" si="0"/>
        <v>46.942740887732683</v>
      </c>
      <c r="G26" s="7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</row>
    <row r="27" spans="1:45" s="13" customFormat="1">
      <c r="A27" s="21" t="s">
        <v>2</v>
      </c>
      <c r="B27" s="42">
        <v>0</v>
      </c>
      <c r="C27" s="43">
        <v>0.46400000000000002</v>
      </c>
      <c r="D27" s="41">
        <v>15.474284211278402</v>
      </c>
      <c r="E27" s="41">
        <v>62.546561240669902</v>
      </c>
      <c r="F27" s="44">
        <f t="shared" si="0"/>
        <v>21.979154548051696</v>
      </c>
      <c r="G27" s="35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</row>
    <row r="28" spans="1:45" s="10" customFormat="1">
      <c r="A28" s="20">
        <v>25</v>
      </c>
      <c r="B28" s="42">
        <v>0</v>
      </c>
      <c r="C28" s="43">
        <v>0.434</v>
      </c>
      <c r="D28" s="41">
        <v>1.1021805328027451E-10</v>
      </c>
      <c r="E28" s="41">
        <v>3.4737830347951006E-3</v>
      </c>
      <c r="F28" s="44">
        <f t="shared" si="0"/>
        <v>99.996526216854988</v>
      </c>
      <c r="G28" s="7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</row>
    <row r="29" spans="1:45" s="10" customFormat="1">
      <c r="A29" s="20">
        <v>26</v>
      </c>
      <c r="B29" s="42">
        <v>0</v>
      </c>
      <c r="C29" s="43">
        <v>0.38900000000000001</v>
      </c>
      <c r="D29" s="41">
        <v>1.670294850388264</v>
      </c>
      <c r="E29" s="41">
        <v>26.479782023233998</v>
      </c>
      <c r="F29" s="44">
        <f t="shared" si="0"/>
        <v>71.849923126377746</v>
      </c>
      <c r="G29" s="7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</row>
    <row r="30" spans="1:45" s="11" customFormat="1">
      <c r="A30" s="21">
        <v>27</v>
      </c>
      <c r="B30" s="42">
        <v>0</v>
      </c>
      <c r="C30" s="43">
        <v>0.2792</v>
      </c>
      <c r="D30" s="41">
        <v>12.872534495205187</v>
      </c>
      <c r="E30" s="41">
        <v>24.12184373217417</v>
      </c>
      <c r="F30" s="44">
        <f t="shared" si="0"/>
        <v>63.005621772620643</v>
      </c>
      <c r="G30" s="35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</row>
    <row r="31" spans="1:45" s="11" customFormat="1">
      <c r="A31" s="23">
        <v>30</v>
      </c>
      <c r="B31" s="42">
        <v>0</v>
      </c>
      <c r="C31" s="43">
        <v>0.32219999999999999</v>
      </c>
      <c r="D31" s="41">
        <v>2.4643110808422459E-3</v>
      </c>
      <c r="E31" s="41">
        <v>4.8946370473861665</v>
      </c>
      <c r="F31" s="44">
        <f t="shared" si="0"/>
        <v>95.102898641532988</v>
      </c>
      <c r="G31" s="37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</row>
    <row r="32" spans="1:45" s="10" customFormat="1">
      <c r="A32" s="20">
        <v>32</v>
      </c>
      <c r="B32" s="42">
        <v>1</v>
      </c>
      <c r="C32" s="43">
        <v>0.47299999999999998</v>
      </c>
      <c r="D32" s="41">
        <v>10.874829837103624</v>
      </c>
      <c r="E32" s="41">
        <v>72.934671022158668</v>
      </c>
      <c r="F32" s="44">
        <f t="shared" si="0"/>
        <v>16.190499140737714</v>
      </c>
      <c r="G32" s="7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</row>
    <row r="33" spans="1:45" s="10" customFormat="1">
      <c r="A33" s="20">
        <v>33</v>
      </c>
      <c r="B33" s="42">
        <v>0.4</v>
      </c>
      <c r="C33" s="43">
        <v>0.44500000000000001</v>
      </c>
      <c r="D33" s="41">
        <v>16.226706155805701</v>
      </c>
      <c r="E33" s="41">
        <v>64.367582163481885</v>
      </c>
      <c r="F33" s="44">
        <f t="shared" si="0"/>
        <v>19.405711680712415</v>
      </c>
      <c r="G33" s="7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</row>
    <row r="34" spans="1:45" s="12" customFormat="1">
      <c r="A34" s="23">
        <v>34</v>
      </c>
      <c r="B34" s="42">
        <v>0.1</v>
      </c>
      <c r="C34" s="43">
        <v>0.39500000000000002</v>
      </c>
      <c r="D34" s="41">
        <v>7.7521761264349607</v>
      </c>
      <c r="E34" s="41">
        <v>70.927635319617053</v>
      </c>
      <c r="F34" s="44">
        <f t="shared" si="0"/>
        <v>21.320188553947986</v>
      </c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</row>
    <row r="35" spans="1:45" s="10" customFormat="1">
      <c r="A35" s="23">
        <v>35</v>
      </c>
      <c r="B35" s="42">
        <v>0.1</v>
      </c>
      <c r="C35" s="43">
        <v>0.376</v>
      </c>
      <c r="D35" s="41">
        <v>10.966176900539184</v>
      </c>
      <c r="E35" s="41">
        <v>74.21166307828129</v>
      </c>
      <c r="F35" s="44">
        <f t="shared" si="0"/>
        <v>14.822160021179528</v>
      </c>
      <c r="G35" s="37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</row>
    <row r="36" spans="1:45" s="10" customFormat="1">
      <c r="A36" s="23">
        <v>36</v>
      </c>
      <c r="B36" s="42">
        <v>0.1</v>
      </c>
      <c r="C36" s="43">
        <v>0.35499999999999998</v>
      </c>
      <c r="D36" s="41">
        <v>11.229697072160105</v>
      </c>
      <c r="E36" s="41">
        <v>50.754071825316245</v>
      </c>
      <c r="F36" s="44">
        <f t="shared" si="0"/>
        <v>38.016231102523648</v>
      </c>
      <c r="G36" s="37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</row>
    <row r="37" spans="1:45" s="10" customFormat="1">
      <c r="A37" s="23">
        <v>37</v>
      </c>
      <c r="B37" s="42">
        <v>0.1</v>
      </c>
      <c r="C37" s="43">
        <v>0.35799999999999998</v>
      </c>
      <c r="D37" s="41">
        <v>14.207362793346794</v>
      </c>
      <c r="E37" s="41">
        <v>60.403344161494338</v>
      </c>
      <c r="F37" s="44">
        <f t="shared" si="0"/>
        <v>25.389293045158873</v>
      </c>
      <c r="G37" s="37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</row>
    <row r="38" spans="1:45" s="10" customFormat="1">
      <c r="A38" s="23">
        <v>38</v>
      </c>
      <c r="B38" s="42">
        <v>1.5</v>
      </c>
      <c r="C38" s="43">
        <v>0.434</v>
      </c>
      <c r="D38" s="41">
        <v>28.390183903416595</v>
      </c>
      <c r="E38" s="41">
        <v>57.881498616186562</v>
      </c>
      <c r="F38" s="44">
        <f t="shared" si="0"/>
        <v>13.728317480396839</v>
      </c>
      <c r="G38" s="37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</row>
    <row r="39" spans="1:45" s="10" customFormat="1">
      <c r="A39" s="20">
        <v>39</v>
      </c>
      <c r="B39" s="42">
        <v>0.3</v>
      </c>
      <c r="C39" s="43">
        <v>0.41599999999999998</v>
      </c>
      <c r="D39" s="41">
        <v>58.670409888159789</v>
      </c>
      <c r="E39" s="41">
        <v>35.692256640107793</v>
      </c>
      <c r="F39" s="44">
        <f t="shared" si="0"/>
        <v>5.6373334717324184</v>
      </c>
      <c r="G39" s="7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</row>
    <row r="40" spans="1:45" s="10" customFormat="1">
      <c r="A40" s="20">
        <v>40</v>
      </c>
      <c r="B40" s="42">
        <v>0.2</v>
      </c>
      <c r="C40" s="43">
        <v>0.43</v>
      </c>
      <c r="D40" s="41">
        <v>56.867427107011167</v>
      </c>
      <c r="E40" s="41">
        <v>37.400396989689497</v>
      </c>
      <c r="F40" s="44">
        <f t="shared" si="0"/>
        <v>5.7321759032993356</v>
      </c>
      <c r="G40" s="7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</row>
    <row r="41" spans="1:45" s="10" customFormat="1">
      <c r="A41" s="20">
        <v>41</v>
      </c>
      <c r="B41" s="42">
        <v>0.2</v>
      </c>
      <c r="C41" s="43">
        <v>0.41299999999999998</v>
      </c>
      <c r="D41" s="41">
        <v>55.789877430371057</v>
      </c>
      <c r="E41" s="41">
        <v>37.631345933764287</v>
      </c>
      <c r="F41" s="44">
        <f t="shared" si="0"/>
        <v>6.5787766358646564</v>
      </c>
      <c r="G41" s="7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</row>
    <row r="42" spans="1:45" s="10" customFormat="1">
      <c r="A42" s="20">
        <v>42</v>
      </c>
      <c r="B42" s="42">
        <v>1.8</v>
      </c>
      <c r="C42" s="43">
        <v>0.38</v>
      </c>
      <c r="D42" s="41">
        <v>9.2387135819153112</v>
      </c>
      <c r="E42" s="41">
        <v>31.831566084392925</v>
      </c>
      <c r="F42" s="44">
        <f t="shared" si="0"/>
        <v>58.929720333691769</v>
      </c>
      <c r="G42" s="7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</row>
    <row r="43" spans="1:45" s="10" customFormat="1">
      <c r="A43" s="20">
        <v>43</v>
      </c>
      <c r="B43" s="42">
        <v>0.4</v>
      </c>
      <c r="C43" s="43">
        <v>0.37</v>
      </c>
      <c r="D43" s="41">
        <v>5.8775885231119487</v>
      </c>
      <c r="E43" s="41">
        <v>30.156266570736424</v>
      </c>
      <c r="F43" s="44">
        <f t="shared" si="0"/>
        <v>63.966144906151627</v>
      </c>
      <c r="G43" s="7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</row>
    <row r="44" spans="1:45" s="10" customFormat="1">
      <c r="A44" s="20">
        <v>44</v>
      </c>
      <c r="B44" s="42">
        <v>0.5</v>
      </c>
      <c r="C44" s="43">
        <v>0.41799999999999998</v>
      </c>
      <c r="D44" s="41">
        <v>10.737040197718537</v>
      </c>
      <c r="E44" s="41">
        <v>32.32749177060095</v>
      </c>
      <c r="F44" s="44">
        <f t="shared" si="0"/>
        <v>56.935468031680507</v>
      </c>
      <c r="G44" s="7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</row>
    <row r="45" spans="1:45" s="10" customFormat="1">
      <c r="A45" s="20">
        <v>45</v>
      </c>
      <c r="B45" s="42">
        <v>0.1</v>
      </c>
      <c r="C45" s="43">
        <v>0.40400000000000003</v>
      </c>
      <c r="D45" s="41">
        <v>5.6674805474602703</v>
      </c>
      <c r="E45" s="41">
        <v>28.216159354230726</v>
      </c>
      <c r="F45" s="44">
        <f t="shared" si="0"/>
        <v>66.116360098309002</v>
      </c>
      <c r="G45" s="7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</row>
    <row r="46" spans="1:45" s="10" customFormat="1">
      <c r="A46" s="20">
        <v>46</v>
      </c>
      <c r="B46" s="42">
        <v>0.1</v>
      </c>
      <c r="C46" s="43">
        <v>0.375</v>
      </c>
      <c r="D46" s="41">
        <v>3.1633575077401206</v>
      </c>
      <c r="E46" s="41">
        <v>24.398322474593574</v>
      </c>
      <c r="F46" s="44">
        <f t="shared" si="0"/>
        <v>72.438320017666314</v>
      </c>
      <c r="G46" s="7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</row>
    <row r="47" spans="1:45" s="10" customFormat="1">
      <c r="A47" s="20">
        <v>47</v>
      </c>
      <c r="B47" s="42">
        <v>0.1</v>
      </c>
      <c r="C47" s="43">
        <v>0.41099999999999998</v>
      </c>
      <c r="D47" s="41">
        <v>9.5427519134824348E-2</v>
      </c>
      <c r="E47" s="41">
        <v>10.139084053625915</v>
      </c>
      <c r="F47" s="44">
        <f t="shared" si="0"/>
        <v>89.765488427239262</v>
      </c>
      <c r="G47" s="7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</row>
    <row r="48" spans="1:45" s="10" customFormat="1">
      <c r="A48" s="20">
        <v>48</v>
      </c>
      <c r="B48" s="42">
        <v>0.1</v>
      </c>
      <c r="C48" s="43">
        <v>0.42</v>
      </c>
      <c r="D48" s="41">
        <v>1.2578337594796676</v>
      </c>
      <c r="E48" s="41">
        <v>19.4670054447908</v>
      </c>
      <c r="F48" s="44">
        <f t="shared" si="0"/>
        <v>79.275160795729533</v>
      </c>
      <c r="G48" s="7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</row>
    <row r="49" spans="1:45" s="10" customFormat="1">
      <c r="A49" s="20">
        <v>49</v>
      </c>
      <c r="B49" s="42">
        <v>0.1</v>
      </c>
      <c r="C49" s="43">
        <v>0.316</v>
      </c>
      <c r="D49" s="41">
        <v>0.41705456493202514</v>
      </c>
      <c r="E49" s="41">
        <v>26.575462333509233</v>
      </c>
      <c r="F49" s="44">
        <f t="shared" si="0"/>
        <v>73.007483101558734</v>
      </c>
      <c r="G49" s="7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</row>
    <row r="50" spans="1:45" s="12" customFormat="1">
      <c r="A50" s="20">
        <v>50</v>
      </c>
      <c r="B50" s="42">
        <v>0.2</v>
      </c>
      <c r="C50" s="43">
        <v>0.38600000000000001</v>
      </c>
      <c r="D50" s="41">
        <v>1.5119922875613017</v>
      </c>
      <c r="E50" s="41">
        <v>35.742750913921149</v>
      </c>
      <c r="F50" s="44">
        <f t="shared" si="0"/>
        <v>62.745256798517552</v>
      </c>
      <c r="G50" s="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</row>
    <row r="51" spans="1:45" s="12" customFormat="1">
      <c r="A51" s="20">
        <v>51</v>
      </c>
      <c r="B51" s="42">
        <v>0.2</v>
      </c>
      <c r="C51" s="43">
        <v>0.39200000000000002</v>
      </c>
      <c r="D51" s="41">
        <v>0.25016084143816264</v>
      </c>
      <c r="E51" s="41">
        <v>28.747401298500336</v>
      </c>
      <c r="F51" s="44">
        <f t="shared" si="0"/>
        <v>71.002437860061505</v>
      </c>
      <c r="G51" s="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</row>
    <row r="52" spans="1:45" s="10" customFormat="1">
      <c r="A52" s="20">
        <v>52</v>
      </c>
      <c r="B52" s="42">
        <v>0.1</v>
      </c>
      <c r="C52" s="43">
        <v>0.436</v>
      </c>
      <c r="D52" s="41">
        <v>0.18179269798184566</v>
      </c>
      <c r="E52" s="41">
        <v>22.242147511641374</v>
      </c>
      <c r="F52" s="44">
        <f t="shared" si="0"/>
        <v>77.576059790376775</v>
      </c>
      <c r="G52" s="7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</row>
    <row r="53" spans="1:45" s="10" customFormat="1">
      <c r="A53" s="20">
        <v>53</v>
      </c>
      <c r="B53" s="42">
        <v>0.1</v>
      </c>
      <c r="C53" s="43">
        <v>0.41399999999999998</v>
      </c>
      <c r="D53" s="41">
        <v>0.29286852369105898</v>
      </c>
      <c r="E53" s="41">
        <v>32.431303413797757</v>
      </c>
      <c r="F53" s="44">
        <f t="shared" si="0"/>
        <v>67.275828062511181</v>
      </c>
      <c r="G53" s="7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</row>
    <row r="54" spans="1:45" s="12" customFormat="1">
      <c r="A54" s="20">
        <v>54</v>
      </c>
      <c r="B54" s="42">
        <v>1</v>
      </c>
      <c r="C54" s="43">
        <v>0.41799999999999998</v>
      </c>
      <c r="D54" s="41">
        <v>0.32454780931088778</v>
      </c>
      <c r="E54" s="41">
        <v>22.830306745683266</v>
      </c>
      <c r="F54" s="44">
        <f t="shared" si="0"/>
        <v>76.845145445005841</v>
      </c>
      <c r="G54" s="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</row>
    <row r="55" spans="1:45" s="12" customFormat="1">
      <c r="A55" s="20">
        <v>55</v>
      </c>
      <c r="B55" s="42">
        <v>0.1</v>
      </c>
      <c r="C55" s="43">
        <v>0.35599999999999998</v>
      </c>
      <c r="D55" s="41">
        <v>0.20357114494371623</v>
      </c>
      <c r="E55" s="41">
        <v>24.503039616106395</v>
      </c>
      <c r="F55" s="44">
        <f t="shared" si="0"/>
        <v>75.293389238949885</v>
      </c>
      <c r="G55" s="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</row>
    <row r="56" spans="1:45" s="12" customFormat="1">
      <c r="A56" s="20">
        <v>56</v>
      </c>
      <c r="B56" s="42">
        <v>0.2</v>
      </c>
      <c r="C56" s="43">
        <v>0.38600000000000001</v>
      </c>
      <c r="D56" s="41">
        <v>1.3229381274115948</v>
      </c>
      <c r="E56" s="41">
        <v>31.461619322787904</v>
      </c>
      <c r="F56" s="44">
        <f t="shared" si="0"/>
        <v>67.215442549800514</v>
      </c>
      <c r="G56" s="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</row>
    <row r="57" spans="1:45" s="10" customFormat="1">
      <c r="A57" s="20">
        <v>57</v>
      </c>
      <c r="B57" s="42">
        <v>0.1</v>
      </c>
      <c r="C57" s="43">
        <v>0.38600000000000001</v>
      </c>
      <c r="D57" s="41">
        <v>1.0057265610552015</v>
      </c>
      <c r="E57" s="41">
        <v>29.158463367192667</v>
      </c>
      <c r="F57" s="44">
        <f t="shared" si="0"/>
        <v>69.835810071752135</v>
      </c>
      <c r="G57" s="7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</row>
    <row r="58" spans="1:45" s="12" customFormat="1">
      <c r="A58" s="20">
        <v>58</v>
      </c>
      <c r="B58" s="42">
        <v>0.1</v>
      </c>
      <c r="C58" s="43">
        <v>0.39900000000000002</v>
      </c>
      <c r="D58" s="41">
        <v>0.75693536764230995</v>
      </c>
      <c r="E58" s="41">
        <v>26.639218661652539</v>
      </c>
      <c r="F58" s="44">
        <f t="shared" si="0"/>
        <v>72.603845970705152</v>
      </c>
      <c r="G58" s="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</row>
    <row r="59" spans="1:45" s="10" customFormat="1">
      <c r="A59" s="20">
        <v>59</v>
      </c>
      <c r="B59" s="42">
        <v>0.1</v>
      </c>
      <c r="C59" s="43">
        <v>0.45700000000000002</v>
      </c>
      <c r="D59" s="41">
        <v>0.18595126431293962</v>
      </c>
      <c r="E59" s="41">
        <v>18.822884557589266</v>
      </c>
      <c r="F59" s="44">
        <f t="shared" si="0"/>
        <v>80.991164178097804</v>
      </c>
      <c r="G59" s="7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</row>
    <row r="60" spans="1:45" s="10" customFormat="1">
      <c r="A60" s="20">
        <v>60</v>
      </c>
      <c r="B60" s="42">
        <v>1.3</v>
      </c>
      <c r="C60" s="43">
        <v>0.40400000000000003</v>
      </c>
      <c r="D60" s="41">
        <v>3.2473813947259775E-2</v>
      </c>
      <c r="E60" s="41">
        <v>24.929242513003473</v>
      </c>
      <c r="F60" s="44">
        <f t="shared" si="0"/>
        <v>75.038283673049264</v>
      </c>
      <c r="G60" s="7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</row>
    <row r="61" spans="1:45" s="10" customFormat="1">
      <c r="A61" s="20">
        <v>61</v>
      </c>
      <c r="B61" s="42">
        <v>0.2</v>
      </c>
      <c r="C61" s="43">
        <v>0.35299999999999998</v>
      </c>
      <c r="D61" s="41">
        <v>4.930663356651846E-2</v>
      </c>
      <c r="E61" s="41">
        <v>32.971947263377459</v>
      </c>
      <c r="F61" s="44">
        <f t="shared" si="0"/>
        <v>66.978746103056025</v>
      </c>
      <c r="G61" s="7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</row>
    <row r="62" spans="1:45" s="10" customFormat="1">
      <c r="A62" s="20">
        <v>62</v>
      </c>
      <c r="B62" s="42">
        <v>0.2</v>
      </c>
      <c r="C62" s="43">
        <v>0.40899999999999997</v>
      </c>
      <c r="D62" s="41">
        <v>1.7699953564922815</v>
      </c>
      <c r="E62" s="41">
        <v>44.460823904054045</v>
      </c>
      <c r="F62" s="44">
        <f t="shared" si="0"/>
        <v>53.769180739453667</v>
      </c>
      <c r="G62" s="7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</row>
    <row r="63" spans="1:45" s="10" customFormat="1">
      <c r="A63" s="20">
        <v>63</v>
      </c>
      <c r="B63" s="42">
        <v>0.7</v>
      </c>
      <c r="C63" s="43">
        <v>0.34</v>
      </c>
      <c r="D63" s="41">
        <v>6.4233480108355199</v>
      </c>
      <c r="E63" s="41">
        <v>25.364737971053323</v>
      </c>
      <c r="F63" s="44">
        <f t="shared" si="0"/>
        <v>68.211914018111145</v>
      </c>
      <c r="G63" s="7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</row>
    <row r="64" spans="1:45" s="10" customFormat="1">
      <c r="A64" s="20">
        <v>64</v>
      </c>
      <c r="B64" s="42">
        <v>0.4</v>
      </c>
      <c r="C64" s="43">
        <v>0.35799999999999998</v>
      </c>
      <c r="D64" s="41">
        <v>14.836007716012869</v>
      </c>
      <c r="E64" s="41">
        <v>29.746157494166969</v>
      </c>
      <c r="F64" s="44">
        <f t="shared" si="0"/>
        <v>55.417834789820162</v>
      </c>
      <c r="G64" s="7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</row>
    <row r="65" spans="1:45" s="10" customFormat="1">
      <c r="A65" s="20">
        <v>65</v>
      </c>
      <c r="B65" s="42">
        <v>0.3</v>
      </c>
      <c r="C65" s="43">
        <v>0.377</v>
      </c>
      <c r="D65" s="41">
        <v>13.886051442345549</v>
      </c>
      <c r="E65" s="41">
        <v>28.796478939971841</v>
      </c>
      <c r="F65" s="44">
        <f t="shared" si="0"/>
        <v>57.317469617682612</v>
      </c>
      <c r="G65" s="7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</row>
    <row r="66" spans="1:45" s="10" customFormat="1">
      <c r="A66" s="20">
        <v>66</v>
      </c>
      <c r="B66" s="42">
        <v>0.2</v>
      </c>
      <c r="C66" s="43">
        <v>0.35399999999999998</v>
      </c>
      <c r="D66" s="41">
        <v>13.135690442318371</v>
      </c>
      <c r="E66" s="41">
        <v>29.23345652655803</v>
      </c>
      <c r="F66" s="44">
        <f t="shared" si="0"/>
        <v>57.630853031123593</v>
      </c>
      <c r="G66" s="7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</row>
    <row r="67" spans="1:45" s="10" customFormat="1">
      <c r="A67" s="20">
        <v>67</v>
      </c>
      <c r="B67" s="42">
        <v>0.1</v>
      </c>
      <c r="C67" s="43">
        <v>0.35499999999999998</v>
      </c>
      <c r="D67" s="41">
        <v>2.5529685211451727</v>
      </c>
      <c r="E67" s="41">
        <v>19.076449398825584</v>
      </c>
      <c r="F67" s="44">
        <f t="shared" si="0"/>
        <v>78.370582080029237</v>
      </c>
      <c r="G67" s="7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</row>
    <row r="68" spans="1:45" s="10" customFormat="1">
      <c r="A68" s="20">
        <v>68</v>
      </c>
      <c r="B68" s="42">
        <v>0.1</v>
      </c>
      <c r="C68" s="43">
        <v>0.35899999999999999</v>
      </c>
      <c r="D68" s="41">
        <v>1.5217538906201262</v>
      </c>
      <c r="E68" s="41">
        <v>16.670710520249159</v>
      </c>
      <c r="F68" s="44">
        <f t="shared" si="0"/>
        <v>81.807535589130708</v>
      </c>
      <c r="G68" s="7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</row>
    <row r="69" spans="1:45" s="10" customFormat="1">
      <c r="A69" s="20">
        <v>69</v>
      </c>
      <c r="B69" s="42">
        <v>0.1</v>
      </c>
      <c r="C69" s="43">
        <v>0.36799999999999999</v>
      </c>
      <c r="D69" s="41">
        <v>1.0012286151670098</v>
      </c>
      <c r="E69" s="41">
        <v>13.521330807816886</v>
      </c>
      <c r="F69" s="44">
        <f t="shared" ref="F69:F132" si="1">100-D69-E69</f>
        <v>85.477440577016111</v>
      </c>
      <c r="G69" s="7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</row>
    <row r="70" spans="1:45" s="11" customFormat="1">
      <c r="A70" s="21">
        <v>70</v>
      </c>
      <c r="B70" s="42">
        <v>0.7</v>
      </c>
      <c r="C70" s="43">
        <v>0.317</v>
      </c>
      <c r="D70" s="41">
        <v>0.30859301828444113</v>
      </c>
      <c r="E70" s="41">
        <v>10.260861094636086</v>
      </c>
      <c r="F70" s="44">
        <f t="shared" si="1"/>
        <v>89.430545887079475</v>
      </c>
      <c r="G70" s="35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</row>
    <row r="71" spans="1:45" s="10" customFormat="1">
      <c r="A71" s="20">
        <v>71</v>
      </c>
      <c r="B71" s="42">
        <v>0.1</v>
      </c>
      <c r="C71" s="43">
        <v>0.371</v>
      </c>
      <c r="D71" s="41">
        <v>0.15461242409209291</v>
      </c>
      <c r="E71" s="41">
        <v>7.614039819201972</v>
      </c>
      <c r="F71" s="44">
        <f t="shared" si="1"/>
        <v>92.231347756705929</v>
      </c>
      <c r="G71" s="7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</row>
    <row r="72" spans="1:45" s="10" customFormat="1">
      <c r="A72" s="20">
        <v>72</v>
      </c>
      <c r="B72" s="42">
        <v>0.1</v>
      </c>
      <c r="C72" s="43">
        <v>0.41599999999999998</v>
      </c>
      <c r="D72" s="41">
        <v>0.25767480441415036</v>
      </c>
      <c r="E72" s="41">
        <v>9.9427992461874783</v>
      </c>
      <c r="F72" s="44">
        <f t="shared" si="1"/>
        <v>89.799525949398372</v>
      </c>
      <c r="G72" s="7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</row>
    <row r="73" spans="1:45" s="10" customFormat="1">
      <c r="A73" s="20">
        <v>73</v>
      </c>
      <c r="B73" s="42">
        <v>0.1</v>
      </c>
      <c r="C73" s="43">
        <v>0.39400000000000002</v>
      </c>
      <c r="D73" s="41">
        <v>0.10574632704731561</v>
      </c>
      <c r="E73" s="41">
        <v>7.7610783885101329</v>
      </c>
      <c r="F73" s="44">
        <f t="shared" si="1"/>
        <v>92.133175284442558</v>
      </c>
      <c r="G73" s="7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</row>
    <row r="74" spans="1:45" s="10" customFormat="1">
      <c r="A74" s="20">
        <v>74</v>
      </c>
      <c r="B74" s="42">
        <v>0.1</v>
      </c>
      <c r="C74" s="43">
        <v>0.36599999999999999</v>
      </c>
      <c r="D74" s="41">
        <v>0.18821091495291575</v>
      </c>
      <c r="E74" s="41">
        <v>8.734909353775862</v>
      </c>
      <c r="F74" s="44">
        <f t="shared" si="1"/>
        <v>91.076879731271219</v>
      </c>
      <c r="G74" s="7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</row>
    <row r="75" spans="1:45" s="10" customFormat="1">
      <c r="A75" s="20">
        <v>75</v>
      </c>
      <c r="B75" s="42">
        <v>0.2</v>
      </c>
      <c r="C75" s="43">
        <v>0.36399999999999999</v>
      </c>
      <c r="D75" s="41">
        <v>1.4324049010739992</v>
      </c>
      <c r="E75" s="41">
        <v>16.195797513879796</v>
      </c>
      <c r="F75" s="44">
        <f t="shared" si="1"/>
        <v>82.37179758504621</v>
      </c>
      <c r="G75" s="7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</row>
    <row r="76" spans="1:45" s="10" customFormat="1">
      <c r="A76" s="20">
        <v>76</v>
      </c>
      <c r="B76" s="42">
        <v>0.1</v>
      </c>
      <c r="C76" s="43">
        <v>0.36099999999999999</v>
      </c>
      <c r="D76" s="41">
        <v>9.7743853486784854E-2</v>
      </c>
      <c r="E76" s="41">
        <v>6.1350936072101963</v>
      </c>
      <c r="F76" s="44">
        <f t="shared" si="1"/>
        <v>93.767162539303015</v>
      </c>
      <c r="G76" s="7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</row>
    <row r="77" spans="1:45" s="12" customFormat="1">
      <c r="A77" s="20">
        <v>77</v>
      </c>
      <c r="B77" s="42">
        <v>1.2</v>
      </c>
      <c r="C77" s="43">
        <v>0.36899999999999999</v>
      </c>
      <c r="D77" s="41">
        <v>1.4373455018291403</v>
      </c>
      <c r="E77" s="41">
        <v>12.374671994075124</v>
      </c>
      <c r="F77" s="44">
        <f t="shared" si="1"/>
        <v>86.187982504095729</v>
      </c>
      <c r="G77" s="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</row>
    <row r="78" spans="1:45" s="12" customFormat="1">
      <c r="A78" s="20">
        <v>78</v>
      </c>
      <c r="B78" s="42">
        <v>0.4</v>
      </c>
      <c r="C78" s="43">
        <v>0.39500000000000002</v>
      </c>
      <c r="D78" s="41">
        <v>3.1170623269644553</v>
      </c>
      <c r="E78" s="41">
        <v>15.90853848428889</v>
      </c>
      <c r="F78" s="44">
        <f t="shared" si="1"/>
        <v>80.974399188746645</v>
      </c>
      <c r="G78" s="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</row>
    <row r="79" spans="1:45" s="10" customFormat="1">
      <c r="A79" s="20">
        <v>79</v>
      </c>
      <c r="B79" s="42">
        <v>0.3</v>
      </c>
      <c r="C79" s="43">
        <v>0.46200000000000002</v>
      </c>
      <c r="D79" s="41">
        <v>4.3975799293918847</v>
      </c>
      <c r="E79" s="41">
        <v>17.872679864435774</v>
      </c>
      <c r="F79" s="44">
        <f t="shared" si="1"/>
        <v>77.729740206172352</v>
      </c>
      <c r="G79" s="7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</row>
    <row r="80" spans="1:45" s="10" customFormat="1">
      <c r="A80" s="20">
        <v>80</v>
      </c>
      <c r="B80" s="42">
        <v>0.2</v>
      </c>
      <c r="C80" s="43">
        <v>0.45800000000000002</v>
      </c>
      <c r="D80" s="41">
        <v>5.8347930443250053</v>
      </c>
      <c r="E80" s="41">
        <v>19.81133087296638</v>
      </c>
      <c r="F80" s="44">
        <f t="shared" si="1"/>
        <v>74.353876082708609</v>
      </c>
      <c r="G80" s="7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</row>
    <row r="81" spans="1:45" s="12" customFormat="1">
      <c r="A81" s="20">
        <v>81</v>
      </c>
      <c r="B81" s="42">
        <v>0.2</v>
      </c>
      <c r="C81" s="43">
        <v>0.43</v>
      </c>
      <c r="D81" s="41">
        <v>3.4902637523170723</v>
      </c>
      <c r="E81" s="41">
        <v>17.071542557407426</v>
      </c>
      <c r="F81" s="44">
        <f t="shared" si="1"/>
        <v>79.438193690275497</v>
      </c>
      <c r="G81" s="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</row>
    <row r="82" spans="1:45" s="12" customFormat="1">
      <c r="A82" s="20">
        <v>82</v>
      </c>
      <c r="B82" s="42">
        <v>2.6</v>
      </c>
      <c r="C82" s="43">
        <v>0.40400000000000003</v>
      </c>
      <c r="D82" s="41">
        <v>7.5631026398753241</v>
      </c>
      <c r="E82" s="41">
        <v>20.376828839900107</v>
      </c>
      <c r="F82" s="44">
        <f t="shared" si="1"/>
        <v>72.060068520224576</v>
      </c>
      <c r="G82" s="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</row>
    <row r="83" spans="1:45" s="12" customFormat="1">
      <c r="A83" s="20">
        <v>83</v>
      </c>
      <c r="B83" s="42">
        <v>0.4</v>
      </c>
      <c r="C83" s="43">
        <v>0.32800000000000001</v>
      </c>
      <c r="D83" s="41">
        <v>4.2515095060052719</v>
      </c>
      <c r="E83" s="41">
        <v>15.808387215954832</v>
      </c>
      <c r="F83" s="44">
        <f t="shared" si="1"/>
        <v>79.940103278039885</v>
      </c>
      <c r="G83" s="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</row>
    <row r="84" spans="1:45" s="10" customFormat="1">
      <c r="A84" s="20">
        <v>84</v>
      </c>
      <c r="B84" s="42">
        <v>0.3</v>
      </c>
      <c r="C84" s="43">
        <v>0.378</v>
      </c>
      <c r="D84" s="41">
        <v>9.4804899234727689</v>
      </c>
      <c r="E84" s="41">
        <v>18.121446486204768</v>
      </c>
      <c r="F84" s="44">
        <f t="shared" si="1"/>
        <v>72.398063590322465</v>
      </c>
      <c r="G84" s="7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</row>
    <row r="85" spans="1:45" s="12" customFormat="1">
      <c r="A85" s="20">
        <v>85</v>
      </c>
      <c r="B85" s="42">
        <v>1</v>
      </c>
      <c r="C85" s="43">
        <v>0.38500000000000001</v>
      </c>
      <c r="D85" s="41">
        <v>5.3974722071109715</v>
      </c>
      <c r="E85" s="41">
        <v>20.313044873640589</v>
      </c>
      <c r="F85" s="44">
        <f t="shared" si="1"/>
        <v>74.289482919248442</v>
      </c>
      <c r="G85" s="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</row>
    <row r="86" spans="1:45" s="12" customFormat="1">
      <c r="A86" s="20">
        <v>86</v>
      </c>
      <c r="B86" s="42">
        <v>0.5</v>
      </c>
      <c r="C86" s="43">
        <v>0.32700000000000001</v>
      </c>
      <c r="D86" s="41">
        <v>9.8937210935946229</v>
      </c>
      <c r="E86" s="41">
        <v>23.503579476189579</v>
      </c>
      <c r="F86" s="44">
        <f t="shared" si="1"/>
        <v>66.602699430215807</v>
      </c>
      <c r="G86" s="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</row>
    <row r="87" spans="1:45" s="12" customFormat="1">
      <c r="A87" s="20">
        <v>87</v>
      </c>
      <c r="B87" s="42">
        <v>0.3</v>
      </c>
      <c r="C87" s="43">
        <v>0.36099999999999999</v>
      </c>
      <c r="D87" s="41">
        <v>11.603774091053888</v>
      </c>
      <c r="E87" s="41">
        <v>22.06974490432588</v>
      </c>
      <c r="F87" s="44">
        <f t="shared" si="1"/>
        <v>66.326481004620234</v>
      </c>
      <c r="G87" s="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</row>
    <row r="88" spans="1:45" s="10" customFormat="1">
      <c r="A88" s="20">
        <v>88</v>
      </c>
      <c r="B88" s="42">
        <v>0.2</v>
      </c>
      <c r="C88" s="43">
        <v>0.33200000000000002</v>
      </c>
      <c r="D88" s="41">
        <v>12.609717282129115</v>
      </c>
      <c r="E88" s="41">
        <v>19.667501601037412</v>
      </c>
      <c r="F88" s="44">
        <f t="shared" si="1"/>
        <v>67.722781116833474</v>
      </c>
      <c r="G88" s="7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</row>
    <row r="89" spans="1:45" s="10" customFormat="1">
      <c r="A89" s="20">
        <v>89</v>
      </c>
      <c r="B89" s="42">
        <v>0.1</v>
      </c>
      <c r="C89" s="43">
        <v>0.35599999999999998</v>
      </c>
      <c r="D89" s="41">
        <v>12.548666532956545</v>
      </c>
      <c r="E89" s="41">
        <v>19.36623602857129</v>
      </c>
      <c r="F89" s="44">
        <f t="shared" si="1"/>
        <v>68.085097438472161</v>
      </c>
      <c r="G89" s="7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</row>
    <row r="90" spans="1:45" s="10" customFormat="1">
      <c r="A90" s="20">
        <v>90</v>
      </c>
      <c r="B90" s="42">
        <v>1</v>
      </c>
      <c r="C90" s="43">
        <v>0.377</v>
      </c>
      <c r="D90" s="41">
        <v>4.5900437561703544</v>
      </c>
      <c r="E90" s="41">
        <v>20.038476878394974</v>
      </c>
      <c r="F90" s="44">
        <f t="shared" si="1"/>
        <v>75.371479365434666</v>
      </c>
      <c r="G90" s="7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</row>
    <row r="91" spans="1:45" s="10" customFormat="1">
      <c r="A91" s="20">
        <v>91</v>
      </c>
      <c r="B91" s="42">
        <v>0.5</v>
      </c>
      <c r="C91" s="43">
        <v>0.373</v>
      </c>
      <c r="D91" s="41">
        <v>4.7514909883804979</v>
      </c>
      <c r="E91" s="41">
        <v>20.824193444067326</v>
      </c>
      <c r="F91" s="44">
        <f t="shared" si="1"/>
        <v>74.424315567552185</v>
      </c>
      <c r="G91" s="7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</row>
    <row r="92" spans="1:45" s="10" customFormat="1">
      <c r="A92" s="20">
        <v>92</v>
      </c>
      <c r="B92" s="42">
        <v>0.3</v>
      </c>
      <c r="C92" s="43">
        <v>0.436</v>
      </c>
      <c r="D92" s="41">
        <v>9.4774028945948405</v>
      </c>
      <c r="E92" s="41">
        <v>23.56052052594314</v>
      </c>
      <c r="F92" s="44">
        <f t="shared" si="1"/>
        <v>66.962076579462007</v>
      </c>
      <c r="G92" s="7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</row>
    <row r="93" spans="1:45" s="10" customFormat="1">
      <c r="A93" s="20">
        <v>93</v>
      </c>
      <c r="B93" s="42">
        <v>0.2</v>
      </c>
      <c r="C93" s="43">
        <v>0.41199999999999998</v>
      </c>
      <c r="D93" s="41">
        <v>4.9487489597773031</v>
      </c>
      <c r="E93" s="41">
        <v>20.680321177301231</v>
      </c>
      <c r="F93" s="44">
        <f t="shared" si="1"/>
        <v>74.370929862921457</v>
      </c>
      <c r="G93" s="7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</row>
    <row r="94" spans="1:45" s="10" customFormat="1">
      <c r="A94" s="20">
        <v>94</v>
      </c>
      <c r="B94" s="42">
        <v>0.1</v>
      </c>
      <c r="C94" s="43">
        <v>0.40699999999999997</v>
      </c>
      <c r="D94" s="41">
        <v>0.49966336517693438</v>
      </c>
      <c r="E94" s="41">
        <v>9.9286016683735685</v>
      </c>
      <c r="F94" s="44">
        <f t="shared" si="1"/>
        <v>89.571734966449498</v>
      </c>
      <c r="G94" s="7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</row>
    <row r="95" spans="1:45" s="10" customFormat="1">
      <c r="A95" s="20">
        <v>95</v>
      </c>
      <c r="B95" s="42">
        <v>0.1</v>
      </c>
      <c r="C95" s="43">
        <v>0.39500000000000002</v>
      </c>
      <c r="D95" s="41">
        <v>0.18133817001377173</v>
      </c>
      <c r="E95" s="41">
        <v>6.3397712103526871</v>
      </c>
      <c r="F95" s="44">
        <f t="shared" si="1"/>
        <v>93.478890619633546</v>
      </c>
      <c r="G95" s="7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</row>
    <row r="96" spans="1:45" s="10" customFormat="1">
      <c r="A96" s="20">
        <v>96</v>
      </c>
      <c r="B96" s="42">
        <v>1.2</v>
      </c>
      <c r="C96" s="43">
        <v>0.378</v>
      </c>
      <c r="D96" s="41">
        <v>15.562699936746885</v>
      </c>
      <c r="E96" s="41">
        <v>28.156485051726083</v>
      </c>
      <c r="F96" s="44">
        <f t="shared" si="1"/>
        <v>56.280815011527039</v>
      </c>
      <c r="G96" s="7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</row>
    <row r="97" spans="1:45" s="12" customFormat="1">
      <c r="A97" s="20">
        <v>97</v>
      </c>
      <c r="B97" s="42">
        <v>0.3</v>
      </c>
      <c r="C97" s="43">
        <v>0.35</v>
      </c>
      <c r="D97" s="41">
        <v>20.09915690615081</v>
      </c>
      <c r="E97" s="41">
        <v>26.907117692974523</v>
      </c>
      <c r="F97" s="44">
        <f t="shared" si="1"/>
        <v>52.993725400874666</v>
      </c>
      <c r="G97" s="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</row>
    <row r="98" spans="1:45" s="10" customFormat="1">
      <c r="A98" s="20">
        <v>98</v>
      </c>
      <c r="B98" s="42">
        <v>0.2</v>
      </c>
      <c r="C98" s="43">
        <v>0.375</v>
      </c>
      <c r="D98" s="41">
        <v>18.815648293315217</v>
      </c>
      <c r="E98" s="41">
        <v>25.904888972027738</v>
      </c>
      <c r="F98" s="44">
        <f t="shared" si="1"/>
        <v>55.279462734657045</v>
      </c>
      <c r="G98" s="7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</row>
    <row r="99" spans="1:45" s="12" customFormat="1">
      <c r="A99" s="20">
        <v>99</v>
      </c>
      <c r="B99" s="42">
        <v>0.1</v>
      </c>
      <c r="C99" s="43">
        <v>0.33800000000000002</v>
      </c>
      <c r="D99" s="41">
        <v>10.220978005574882</v>
      </c>
      <c r="E99" s="41">
        <v>22.132127816621388</v>
      </c>
      <c r="F99" s="44">
        <f t="shared" si="1"/>
        <v>67.64689417780373</v>
      </c>
      <c r="G99" s="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</row>
    <row r="100" spans="1:45" s="12" customFormat="1">
      <c r="A100" s="20">
        <v>100</v>
      </c>
      <c r="B100" s="42">
        <v>0.1</v>
      </c>
      <c r="C100" s="43">
        <v>0.32700000000000001</v>
      </c>
      <c r="D100" s="41">
        <v>12.139665177724323</v>
      </c>
      <c r="E100" s="41">
        <v>23.774096996794277</v>
      </c>
      <c r="F100" s="44">
        <f t="shared" si="1"/>
        <v>64.08623782548139</v>
      </c>
      <c r="G100" s="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</row>
    <row r="101" spans="1:45" s="10" customFormat="1">
      <c r="A101" s="20">
        <v>101</v>
      </c>
      <c r="B101" s="42">
        <v>0</v>
      </c>
      <c r="C101" s="43">
        <v>0.36</v>
      </c>
      <c r="D101" s="41">
        <v>0.50026951658896668</v>
      </c>
      <c r="E101" s="41">
        <v>8.79937098521021</v>
      </c>
      <c r="F101" s="44">
        <f t="shared" si="1"/>
        <v>90.700359498200811</v>
      </c>
      <c r="G101" s="7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</row>
    <row r="102" spans="1:45" s="12" customFormat="1">
      <c r="A102" s="20">
        <v>102</v>
      </c>
      <c r="B102" s="42">
        <v>1.5</v>
      </c>
      <c r="C102" s="43">
        <v>0.45300000000000001</v>
      </c>
      <c r="D102" s="41">
        <v>4.2894719213515668E-2</v>
      </c>
      <c r="E102" s="41">
        <v>3.4065773923557163</v>
      </c>
      <c r="F102" s="44">
        <f t="shared" si="1"/>
        <v>96.550527888430764</v>
      </c>
      <c r="G102" s="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</row>
    <row r="103" spans="1:45" s="12" customFormat="1">
      <c r="A103" s="20">
        <v>103</v>
      </c>
      <c r="B103" s="42">
        <v>0.6</v>
      </c>
      <c r="C103" s="43">
        <v>0.45</v>
      </c>
      <c r="D103" s="41">
        <v>2.9248771750802371E-2</v>
      </c>
      <c r="E103" s="41">
        <v>3.0234835234887969</v>
      </c>
      <c r="F103" s="44">
        <f t="shared" si="1"/>
        <v>96.947267704760407</v>
      </c>
      <c r="G103" s="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</row>
    <row r="104" spans="1:45" s="12" customFormat="1">
      <c r="A104" s="20">
        <v>104</v>
      </c>
      <c r="B104" s="42">
        <v>0.1</v>
      </c>
      <c r="C104" s="43">
        <v>0.39400000000000002</v>
      </c>
      <c r="D104" s="41">
        <v>7.6380303537185307E-2</v>
      </c>
      <c r="E104" s="41">
        <v>4.7171989580621974</v>
      </c>
      <c r="F104" s="44">
        <f t="shared" si="1"/>
        <v>95.20642073840061</v>
      </c>
      <c r="G104" s="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</row>
    <row r="105" spans="1:45" s="12" customFormat="1">
      <c r="A105" s="20">
        <v>105</v>
      </c>
      <c r="B105" s="42">
        <v>0.1</v>
      </c>
      <c r="C105" s="43">
        <v>0.36699999999999999</v>
      </c>
      <c r="D105" s="41">
        <v>0.1157473965786136</v>
      </c>
      <c r="E105" s="41">
        <v>5.2692864845125733</v>
      </c>
      <c r="F105" s="44">
        <f t="shared" si="1"/>
        <v>94.614966118908811</v>
      </c>
      <c r="G105" s="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</row>
    <row r="106" spans="1:45" s="12" customFormat="1">
      <c r="A106" s="20">
        <v>106</v>
      </c>
      <c r="B106" s="42">
        <v>0</v>
      </c>
      <c r="C106" s="43">
        <v>0.36899999999999999</v>
      </c>
      <c r="D106" s="41">
        <v>1.4677915056309642E-2</v>
      </c>
      <c r="E106" s="41">
        <v>2.3058507301821964</v>
      </c>
      <c r="F106" s="44">
        <f t="shared" si="1"/>
        <v>97.679471354761489</v>
      </c>
      <c r="G106" s="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</row>
    <row r="107" spans="1:45" s="10" customFormat="1">
      <c r="A107" s="20">
        <v>107</v>
      </c>
      <c r="B107" s="42">
        <v>0.9</v>
      </c>
      <c r="C107" s="43">
        <v>0.433</v>
      </c>
      <c r="D107" s="41">
        <v>0.13416046928848632</v>
      </c>
      <c r="E107" s="41">
        <v>5.4067882075281863</v>
      </c>
      <c r="F107" s="44">
        <f t="shared" si="1"/>
        <v>94.459051323183331</v>
      </c>
      <c r="G107" s="7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</row>
    <row r="108" spans="1:45" s="10" customFormat="1">
      <c r="A108" s="20">
        <v>108</v>
      </c>
      <c r="B108" s="42">
        <v>0.2</v>
      </c>
      <c r="C108" s="43">
        <v>0.39300000000000002</v>
      </c>
      <c r="D108" s="41">
        <v>0.25881273057539</v>
      </c>
      <c r="E108" s="41">
        <v>7.7668402223668478</v>
      </c>
      <c r="F108" s="44">
        <f t="shared" si="1"/>
        <v>91.974347047057762</v>
      </c>
      <c r="G108" s="7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</row>
    <row r="109" spans="1:45" s="10" customFormat="1">
      <c r="A109" s="20">
        <v>109</v>
      </c>
      <c r="B109" s="42">
        <v>0.2</v>
      </c>
      <c r="C109" s="43">
        <v>0.38200000000000001</v>
      </c>
      <c r="D109" s="41">
        <v>0.21972651497607865</v>
      </c>
      <c r="E109" s="41">
        <v>7.7831480676629985</v>
      </c>
      <c r="F109" s="44">
        <f t="shared" si="1"/>
        <v>91.997125417360934</v>
      </c>
      <c r="G109" s="7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</row>
    <row r="110" spans="1:45" s="10" customFormat="1">
      <c r="A110" s="20">
        <v>110</v>
      </c>
      <c r="B110" s="42">
        <v>0.1</v>
      </c>
      <c r="C110" s="43">
        <v>0.4</v>
      </c>
      <c r="D110" s="41">
        <v>0.14769977977384072</v>
      </c>
      <c r="E110" s="41">
        <v>6.7450637023860578</v>
      </c>
      <c r="F110" s="44">
        <f t="shared" si="1"/>
        <v>93.107236517840093</v>
      </c>
      <c r="G110" s="7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</row>
    <row r="111" spans="1:45" s="12" customFormat="1">
      <c r="A111" s="20">
        <v>111</v>
      </c>
      <c r="B111" s="42">
        <v>0.1</v>
      </c>
      <c r="C111" s="43">
        <v>0.38800000000000001</v>
      </c>
      <c r="D111" s="41">
        <v>7.923060857682708E-2</v>
      </c>
      <c r="E111" s="41">
        <v>5.1054732838646864</v>
      </c>
      <c r="F111" s="44">
        <f t="shared" si="1"/>
        <v>94.815296107558495</v>
      </c>
      <c r="G111" s="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</row>
    <row r="112" spans="1:45" s="10" customFormat="1">
      <c r="A112" s="20">
        <v>112</v>
      </c>
      <c r="B112" s="42">
        <v>0.6</v>
      </c>
      <c r="C112" s="43">
        <v>0.42799999999999999</v>
      </c>
      <c r="D112" s="41">
        <v>7.6212007497427417E-2</v>
      </c>
      <c r="E112" s="41">
        <v>6.3325896844806362</v>
      </c>
      <c r="F112" s="44">
        <f t="shared" si="1"/>
        <v>93.59119830802193</v>
      </c>
      <c r="G112" s="7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</row>
    <row r="113" spans="1:45" s="10" customFormat="1">
      <c r="A113" s="20">
        <v>113</v>
      </c>
      <c r="B113" s="42">
        <v>0.2</v>
      </c>
      <c r="C113" s="43">
        <v>0.39200000000000002</v>
      </c>
      <c r="D113" s="41">
        <v>8.8010661804479612E-2</v>
      </c>
      <c r="E113" s="41">
        <v>7.6516409810516111</v>
      </c>
      <c r="F113" s="44">
        <f t="shared" si="1"/>
        <v>92.260348357143911</v>
      </c>
      <c r="G113" s="7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</row>
    <row r="114" spans="1:45" s="10" customFormat="1">
      <c r="A114" s="20">
        <v>114</v>
      </c>
      <c r="B114" s="42">
        <v>0.1</v>
      </c>
      <c r="C114" s="43">
        <v>0.437</v>
      </c>
      <c r="D114" s="41">
        <v>2.0752621131958006E-2</v>
      </c>
      <c r="E114" s="41">
        <v>4.773565190580948</v>
      </c>
      <c r="F114" s="44">
        <f t="shared" si="1"/>
        <v>95.205682188287085</v>
      </c>
      <c r="G114" s="7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</row>
    <row r="115" spans="1:45" s="10" customFormat="1">
      <c r="A115" s="20">
        <v>115</v>
      </c>
      <c r="B115" s="42">
        <v>0.1</v>
      </c>
      <c r="C115" s="43">
        <v>0.43099999999999999</v>
      </c>
      <c r="D115" s="41">
        <v>1.1930306489753973E-2</v>
      </c>
      <c r="E115" s="41">
        <v>4.3972792436227293</v>
      </c>
      <c r="F115" s="44">
        <f t="shared" si="1"/>
        <v>95.590790449887507</v>
      </c>
      <c r="G115" s="7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</row>
    <row r="116" spans="1:45" s="10" customFormat="1">
      <c r="A116" s="20">
        <v>116</v>
      </c>
      <c r="B116" s="42">
        <v>0.1</v>
      </c>
      <c r="C116" s="43">
        <v>0.39500000000000002</v>
      </c>
      <c r="D116" s="41">
        <v>0.10643294381749581</v>
      </c>
      <c r="E116" s="41">
        <v>7.3907017197892761</v>
      </c>
      <c r="F116" s="44">
        <f t="shared" si="1"/>
        <v>92.502865336393228</v>
      </c>
      <c r="G116" s="7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</row>
    <row r="117" spans="1:45" s="10" customFormat="1">
      <c r="A117" s="20">
        <v>117</v>
      </c>
      <c r="B117" s="42">
        <v>0.1</v>
      </c>
      <c r="C117" s="43">
        <v>0.36899999999999999</v>
      </c>
      <c r="D117" s="41">
        <v>0.46033132257479831</v>
      </c>
      <c r="E117" s="41">
        <v>11.88385926409887</v>
      </c>
      <c r="F117" s="44">
        <f t="shared" si="1"/>
        <v>87.655809413326324</v>
      </c>
      <c r="G117" s="7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</row>
    <row r="118" spans="1:45" s="10" customFormat="1">
      <c r="A118" s="20">
        <v>118</v>
      </c>
      <c r="B118" s="42">
        <v>0</v>
      </c>
      <c r="C118" s="43">
        <v>0.36799999999999999</v>
      </c>
      <c r="D118" s="41">
        <v>5.9004474776940527E-2</v>
      </c>
      <c r="E118" s="41">
        <v>5.6032063294965031</v>
      </c>
      <c r="F118" s="44">
        <f t="shared" si="1"/>
        <v>94.337789195726558</v>
      </c>
      <c r="G118" s="7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</row>
    <row r="119" spans="1:45" s="10" customFormat="1">
      <c r="A119" s="20">
        <v>119</v>
      </c>
      <c r="B119" s="42">
        <v>1.7</v>
      </c>
      <c r="C119" s="43">
        <v>0.33300000000000002</v>
      </c>
      <c r="D119" s="41">
        <v>7.9344539725094405</v>
      </c>
      <c r="E119" s="41">
        <v>22.922919757770561</v>
      </c>
      <c r="F119" s="44">
        <f t="shared" si="1"/>
        <v>69.142626269719997</v>
      </c>
      <c r="G119" s="7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</row>
    <row r="120" spans="1:45" s="10" customFormat="1">
      <c r="A120" s="20">
        <v>120</v>
      </c>
      <c r="B120" s="42">
        <v>0.4</v>
      </c>
      <c r="C120" s="43">
        <v>0.26700000000000002</v>
      </c>
      <c r="D120" s="41">
        <v>6.1063667428610229</v>
      </c>
      <c r="E120" s="41">
        <v>21.43129990770959</v>
      </c>
      <c r="F120" s="44">
        <f t="shared" si="1"/>
        <v>72.462333349429386</v>
      </c>
      <c r="G120" s="7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</row>
    <row r="121" spans="1:45" s="10" customFormat="1">
      <c r="A121" s="20">
        <v>121</v>
      </c>
      <c r="B121" s="42">
        <v>0.3</v>
      </c>
      <c r="C121" s="43">
        <v>0.29699999999999999</v>
      </c>
      <c r="D121" s="41">
        <v>3.3543057404312586</v>
      </c>
      <c r="E121" s="41">
        <v>16.029372768840073</v>
      </c>
      <c r="F121" s="44">
        <f t="shared" si="1"/>
        <v>80.616321490728666</v>
      </c>
      <c r="G121" s="7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</row>
    <row r="122" spans="1:45" s="10" customFormat="1">
      <c r="A122" s="20">
        <v>122</v>
      </c>
      <c r="B122" s="42">
        <v>0.1</v>
      </c>
      <c r="C122" s="43">
        <v>0.30199999999999999</v>
      </c>
      <c r="D122" s="41">
        <v>0.13283522028621919</v>
      </c>
      <c r="E122" s="41">
        <v>4.6753814634484661</v>
      </c>
      <c r="F122" s="44">
        <f t="shared" si="1"/>
        <v>95.191783316265315</v>
      </c>
      <c r="G122" s="7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</row>
    <row r="123" spans="1:45" s="10" customFormat="1">
      <c r="A123" s="20">
        <v>123</v>
      </c>
      <c r="B123" s="42">
        <v>1</v>
      </c>
      <c r="C123" s="43">
        <v>0.504</v>
      </c>
      <c r="D123" s="41">
        <v>5.4671951727711212</v>
      </c>
      <c r="E123" s="41">
        <v>19.429293592138528</v>
      </c>
      <c r="F123" s="44">
        <f t="shared" si="1"/>
        <v>75.103511235090338</v>
      </c>
      <c r="G123" s="7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</row>
    <row r="124" spans="1:45" s="10" customFormat="1">
      <c r="A124" s="20">
        <v>124</v>
      </c>
      <c r="B124" s="42">
        <v>0.3</v>
      </c>
      <c r="C124" s="43">
        <v>0.46200000000000002</v>
      </c>
      <c r="D124" s="41">
        <v>6.6560658743551411</v>
      </c>
      <c r="E124" s="41">
        <v>19.907657248992294</v>
      </c>
      <c r="F124" s="44">
        <f t="shared" si="1"/>
        <v>73.43627687665257</v>
      </c>
      <c r="G124" s="7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</row>
    <row r="125" spans="1:45" s="10" customFormat="1">
      <c r="A125" s="20">
        <v>125</v>
      </c>
      <c r="B125" s="42">
        <v>0.2</v>
      </c>
      <c r="C125" s="43">
        <v>0.45500000000000002</v>
      </c>
      <c r="D125" s="41">
        <v>2.9673869700237243</v>
      </c>
      <c r="E125" s="41">
        <v>16.410437380877372</v>
      </c>
      <c r="F125" s="44">
        <f t="shared" si="1"/>
        <v>80.622175649098907</v>
      </c>
      <c r="G125" s="7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</row>
    <row r="126" spans="1:45" s="10" customFormat="1">
      <c r="A126" s="20">
        <v>126</v>
      </c>
      <c r="B126" s="42">
        <v>0.1</v>
      </c>
      <c r="C126" s="43">
        <v>0.44500000000000001</v>
      </c>
      <c r="D126" s="41">
        <v>0.69995342831504415</v>
      </c>
      <c r="E126" s="41">
        <v>9.7203373403022457</v>
      </c>
      <c r="F126" s="44">
        <f t="shared" si="1"/>
        <v>89.579709231382708</v>
      </c>
      <c r="G126" s="7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</row>
    <row r="127" spans="1:45" s="10" customFormat="1">
      <c r="A127" s="21">
        <v>127</v>
      </c>
      <c r="B127" s="42">
        <v>2.2000000000000002</v>
      </c>
      <c r="C127" s="43">
        <v>0.52800000000000002</v>
      </c>
      <c r="D127" s="41">
        <v>1.7586971907046156</v>
      </c>
      <c r="E127" s="41">
        <v>12.86273962080142</v>
      </c>
      <c r="F127" s="44">
        <f t="shared" si="1"/>
        <v>85.37856318849397</v>
      </c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</row>
    <row r="128" spans="1:45" s="12" customFormat="1">
      <c r="A128" s="20">
        <v>128</v>
      </c>
      <c r="B128" s="42">
        <v>1.4</v>
      </c>
      <c r="C128" s="43">
        <v>0.49199999999999999</v>
      </c>
      <c r="D128" s="41">
        <v>3.4876680869812917</v>
      </c>
      <c r="E128" s="41">
        <v>15.965772665657116</v>
      </c>
      <c r="F128" s="44">
        <f t="shared" si="1"/>
        <v>80.5465592473616</v>
      </c>
      <c r="G128" s="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</row>
    <row r="129" spans="1:45" s="10" customFormat="1">
      <c r="A129" s="20">
        <v>129</v>
      </c>
      <c r="B129" s="42">
        <v>0.7</v>
      </c>
      <c r="C129" s="43">
        <v>0.48799999999999999</v>
      </c>
      <c r="D129" s="41">
        <v>9.7199393327590968</v>
      </c>
      <c r="E129" s="41">
        <v>20.362962457388701</v>
      </c>
      <c r="F129" s="44">
        <f t="shared" si="1"/>
        <v>69.917098209852199</v>
      </c>
      <c r="G129" s="7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</row>
    <row r="130" spans="1:45" s="12" customFormat="1">
      <c r="A130" s="20">
        <v>130</v>
      </c>
      <c r="B130" s="42">
        <v>0.5</v>
      </c>
      <c r="C130" s="43">
        <v>0.48399999999999999</v>
      </c>
      <c r="D130" s="41">
        <v>16.599854457377909</v>
      </c>
      <c r="E130" s="41">
        <v>22.604674580219992</v>
      </c>
      <c r="F130" s="44">
        <f t="shared" si="1"/>
        <v>60.795470962402092</v>
      </c>
      <c r="G130" s="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</row>
    <row r="131" spans="1:45" s="12" customFormat="1">
      <c r="A131" s="20">
        <v>131</v>
      </c>
      <c r="B131" s="42">
        <v>0.3</v>
      </c>
      <c r="C131" s="43">
        <v>0.376</v>
      </c>
      <c r="D131" s="41">
        <v>10.285297825991087</v>
      </c>
      <c r="E131" s="41">
        <v>21.038878861748255</v>
      </c>
      <c r="F131" s="44">
        <f t="shared" si="1"/>
        <v>68.675823312260661</v>
      </c>
      <c r="G131" s="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</row>
    <row r="132" spans="1:45" s="12" customFormat="1">
      <c r="A132" s="21">
        <v>132</v>
      </c>
      <c r="B132" s="42">
        <v>3.4</v>
      </c>
      <c r="C132" s="43">
        <v>0.56200000000000006</v>
      </c>
      <c r="D132" s="41">
        <v>5.1861769027370377</v>
      </c>
      <c r="E132" s="41">
        <v>21.41332307909391</v>
      </c>
      <c r="F132" s="44">
        <f t="shared" si="1"/>
        <v>73.400500018169055</v>
      </c>
      <c r="G132" s="35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</row>
    <row r="133" spans="1:45" s="12" customFormat="1">
      <c r="A133" s="20">
        <v>133</v>
      </c>
      <c r="B133" s="42">
        <v>1.3</v>
      </c>
      <c r="C133" s="43">
        <v>0.50600000000000001</v>
      </c>
      <c r="D133" s="41">
        <v>9.0083090108439059</v>
      </c>
      <c r="E133" s="41">
        <v>24.372217094032866</v>
      </c>
      <c r="F133" s="44">
        <f t="shared" ref="F133:F196" si="2">100-D133-E133</f>
        <v>66.619473895123235</v>
      </c>
      <c r="G133" s="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</row>
    <row r="134" spans="1:45" s="12" customFormat="1">
      <c r="A134" s="20">
        <v>134</v>
      </c>
      <c r="B134" s="42">
        <v>0.6</v>
      </c>
      <c r="C134" s="43">
        <v>0.41899999999999998</v>
      </c>
      <c r="D134" s="41">
        <v>12.019563669859805</v>
      </c>
      <c r="E134" s="41">
        <v>24.818393676814786</v>
      </c>
      <c r="F134" s="44">
        <f t="shared" si="2"/>
        <v>63.162042653325408</v>
      </c>
      <c r="G134" s="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</row>
    <row r="135" spans="1:45" s="12" customFormat="1">
      <c r="A135" s="20">
        <v>135</v>
      </c>
      <c r="B135" s="42">
        <v>0.5</v>
      </c>
      <c r="C135" s="43">
        <v>0.36</v>
      </c>
      <c r="D135" s="41">
        <v>14.862278121392078</v>
      </c>
      <c r="E135" s="41">
        <v>25.9657582928997</v>
      </c>
      <c r="F135" s="44">
        <f t="shared" si="2"/>
        <v>59.17196358570822</v>
      </c>
      <c r="G135" s="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</row>
    <row r="136" spans="1:45" s="10" customFormat="1">
      <c r="A136" s="20">
        <v>136</v>
      </c>
      <c r="B136" s="42">
        <v>0.2</v>
      </c>
      <c r="C136" s="43">
        <v>0.35599999999999998</v>
      </c>
      <c r="D136" s="41">
        <v>13.524707443193327</v>
      </c>
      <c r="E136" s="41">
        <v>22.341061782432298</v>
      </c>
      <c r="F136" s="44">
        <f t="shared" si="2"/>
        <v>64.134230774374373</v>
      </c>
      <c r="G136" s="7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</row>
    <row r="137" spans="1:45" s="12" customFormat="1">
      <c r="A137" s="20">
        <v>137</v>
      </c>
      <c r="B137" s="42">
        <v>6.8</v>
      </c>
      <c r="C137" s="43">
        <v>0.56699999999999995</v>
      </c>
      <c r="D137" s="41">
        <v>7.5264338999544727</v>
      </c>
      <c r="E137" s="41">
        <v>28.295482680099607</v>
      </c>
      <c r="F137" s="44">
        <f t="shared" si="2"/>
        <v>64.178083419945921</v>
      </c>
      <c r="G137" s="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</row>
    <row r="138" spans="1:45" s="12" customFormat="1">
      <c r="A138" s="20">
        <v>138</v>
      </c>
      <c r="B138" s="42">
        <v>1.8</v>
      </c>
      <c r="C138" s="43">
        <v>0.41799999999999998</v>
      </c>
      <c r="D138" s="41">
        <v>4.9039203067289749</v>
      </c>
      <c r="E138" s="41">
        <v>26.673369348813733</v>
      </c>
      <c r="F138" s="44">
        <f t="shared" si="2"/>
        <v>68.422710344457286</v>
      </c>
      <c r="G138" s="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</row>
    <row r="139" spans="1:45" s="12" customFormat="1">
      <c r="A139" s="20">
        <v>139</v>
      </c>
      <c r="B139" s="42">
        <v>0.3</v>
      </c>
      <c r="C139" s="43">
        <v>0.378</v>
      </c>
      <c r="D139" s="41">
        <v>6.1881799360066525</v>
      </c>
      <c r="E139" s="41">
        <v>28.615633033812752</v>
      </c>
      <c r="F139" s="44">
        <f t="shared" si="2"/>
        <v>65.196187030180596</v>
      </c>
      <c r="G139" s="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</row>
    <row r="140" spans="1:45" s="12" customFormat="1">
      <c r="A140" s="20">
        <v>140</v>
      </c>
      <c r="B140" s="42">
        <v>0.3</v>
      </c>
      <c r="C140" s="43">
        <v>0.42</v>
      </c>
      <c r="D140" s="41">
        <v>13.353999301792163</v>
      </c>
      <c r="E140" s="41">
        <v>32.551187453544813</v>
      </c>
      <c r="F140" s="44">
        <f t="shared" si="2"/>
        <v>54.09481324466303</v>
      </c>
      <c r="G140" s="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</row>
    <row r="141" spans="1:45" s="12" customFormat="1">
      <c r="A141" s="20">
        <v>141</v>
      </c>
      <c r="B141" s="42">
        <v>0.1</v>
      </c>
      <c r="C141" s="43">
        <v>0.36399999999999999</v>
      </c>
      <c r="D141" s="41">
        <v>4.7685507969043801</v>
      </c>
      <c r="E141" s="41">
        <v>26.836265916159917</v>
      </c>
      <c r="F141" s="44">
        <f t="shared" si="2"/>
        <v>68.395183286935705</v>
      </c>
      <c r="G141" s="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</row>
    <row r="142" spans="1:45" s="12" customFormat="1">
      <c r="A142" s="20">
        <v>142</v>
      </c>
      <c r="B142" s="42">
        <v>0.1</v>
      </c>
      <c r="C142" s="43">
        <v>0.38800000000000001</v>
      </c>
      <c r="D142" s="41">
        <v>0.74486004618111967</v>
      </c>
      <c r="E142" s="41">
        <v>16.247035458436752</v>
      </c>
      <c r="F142" s="44">
        <f t="shared" si="2"/>
        <v>83.008104495382128</v>
      </c>
      <c r="G142" s="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</row>
    <row r="143" spans="1:45" s="12" customFormat="1">
      <c r="A143" s="20">
        <v>143</v>
      </c>
      <c r="B143" s="42">
        <v>0.1</v>
      </c>
      <c r="C143" s="43">
        <v>0.38400000000000001</v>
      </c>
      <c r="D143" s="41">
        <v>3.5005469563123524</v>
      </c>
      <c r="E143" s="41">
        <v>25.279848576565243</v>
      </c>
      <c r="F143" s="44">
        <f t="shared" si="2"/>
        <v>71.219604467122409</v>
      </c>
      <c r="G143" s="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</row>
    <row r="144" spans="1:45" s="11" customFormat="1">
      <c r="A144" s="21">
        <v>144</v>
      </c>
      <c r="B144" s="42">
        <v>12.1</v>
      </c>
      <c r="C144" s="43">
        <v>0.66400000000000003</v>
      </c>
      <c r="D144" s="41">
        <v>13.761264250615257</v>
      </c>
      <c r="E144" s="41">
        <v>53.455895763740827</v>
      </c>
      <c r="F144" s="44">
        <f t="shared" si="2"/>
        <v>32.782839985643918</v>
      </c>
      <c r="G144" s="35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</row>
    <row r="145" spans="1:45" s="12" customFormat="1">
      <c r="A145" s="20">
        <v>145</v>
      </c>
      <c r="B145" s="42">
        <v>1.1000000000000001</v>
      </c>
      <c r="C145" s="43">
        <v>0.50800000000000001</v>
      </c>
      <c r="D145" s="41">
        <v>12.892943821840925</v>
      </c>
      <c r="E145" s="41">
        <v>65.107058042674353</v>
      </c>
      <c r="F145" s="44">
        <f t="shared" si="2"/>
        <v>21.999998135484716</v>
      </c>
      <c r="G145" s="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</row>
    <row r="146" spans="1:45" s="12" customFormat="1">
      <c r="A146" s="20">
        <v>146</v>
      </c>
      <c r="B146" s="42">
        <v>0.6</v>
      </c>
      <c r="C146" s="43">
        <v>0.46100000000000002</v>
      </c>
      <c r="D146" s="41">
        <v>20.933676524058072</v>
      </c>
      <c r="E146" s="41">
        <v>60.175023872440789</v>
      </c>
      <c r="F146" s="44">
        <f t="shared" si="2"/>
        <v>18.891299603501139</v>
      </c>
      <c r="G146" s="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</row>
    <row r="147" spans="1:45" s="14" customFormat="1">
      <c r="A147" s="20">
        <v>147</v>
      </c>
      <c r="B147" s="42">
        <v>0.2</v>
      </c>
      <c r="C147" s="43">
        <v>0.40799999999999997</v>
      </c>
      <c r="D147" s="41">
        <v>18.146925285098213</v>
      </c>
      <c r="E147" s="41">
        <v>37.67177186627061</v>
      </c>
      <c r="F147" s="44">
        <f t="shared" si="2"/>
        <v>44.181302848631184</v>
      </c>
      <c r="G147" s="7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</row>
    <row r="148" spans="1:45" s="10" customFormat="1">
      <c r="A148" s="20">
        <v>148</v>
      </c>
      <c r="B148" s="42">
        <v>0.1</v>
      </c>
      <c r="C148" s="43">
        <v>0.309</v>
      </c>
      <c r="D148" s="41">
        <v>14.006942284893894</v>
      </c>
      <c r="E148" s="41">
        <v>24.846636970383571</v>
      </c>
      <c r="F148" s="44">
        <f t="shared" si="2"/>
        <v>61.146420744722533</v>
      </c>
      <c r="G148" s="7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</row>
    <row r="149" spans="1:45" s="10" customFormat="1">
      <c r="A149" s="20">
        <v>149</v>
      </c>
      <c r="B149" s="42">
        <v>6.4</v>
      </c>
      <c r="C149" s="43">
        <v>0.45700000000000002</v>
      </c>
      <c r="D149" s="41">
        <v>5.0500939800824236</v>
      </c>
      <c r="E149" s="41">
        <v>20.935703540388275</v>
      </c>
      <c r="F149" s="44">
        <f t="shared" si="2"/>
        <v>74.014202479529303</v>
      </c>
      <c r="G149" s="7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</row>
    <row r="150" spans="1:45" s="10" customFormat="1">
      <c r="A150" s="20">
        <v>150</v>
      </c>
      <c r="B150" s="42">
        <v>1</v>
      </c>
      <c r="C150" s="43">
        <v>0.39700000000000002</v>
      </c>
      <c r="D150" s="41">
        <v>6.1292846063785955</v>
      </c>
      <c r="E150" s="41">
        <v>22.230987203575658</v>
      </c>
      <c r="F150" s="44">
        <f t="shared" si="2"/>
        <v>71.639728190045759</v>
      </c>
      <c r="G150" s="7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</row>
    <row r="151" spans="1:45" s="10" customFormat="1">
      <c r="A151" s="20">
        <v>151</v>
      </c>
      <c r="B151" s="42">
        <v>0.3</v>
      </c>
      <c r="C151" s="43">
        <v>0.34</v>
      </c>
      <c r="D151" s="41">
        <v>7.8082568457813473</v>
      </c>
      <c r="E151" s="41">
        <v>24.572623324139787</v>
      </c>
      <c r="F151" s="44">
        <f t="shared" si="2"/>
        <v>67.619119830078873</v>
      </c>
      <c r="G151" s="7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</row>
    <row r="152" spans="1:45" s="10" customFormat="1">
      <c r="A152" s="20">
        <v>152</v>
      </c>
      <c r="B152" s="42">
        <v>0.2</v>
      </c>
      <c r="C152" s="43">
        <v>0.28299999999999997</v>
      </c>
      <c r="D152" s="41">
        <v>7.071544403045479</v>
      </c>
      <c r="E152" s="41">
        <v>23.607086115041902</v>
      </c>
      <c r="F152" s="44">
        <f t="shared" si="2"/>
        <v>69.321369481912626</v>
      </c>
      <c r="G152" s="7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</row>
    <row r="153" spans="1:45" s="10" customFormat="1">
      <c r="A153" s="20">
        <v>153</v>
      </c>
      <c r="B153" s="42">
        <v>0.1</v>
      </c>
      <c r="C153" s="43">
        <v>0.249</v>
      </c>
      <c r="D153" s="41">
        <v>2.5117441714337474</v>
      </c>
      <c r="E153" s="41">
        <v>15.380071408486593</v>
      </c>
      <c r="F153" s="44">
        <f t="shared" si="2"/>
        <v>82.108184420079652</v>
      </c>
      <c r="G153" s="7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</row>
    <row r="154" spans="1:45" s="10" customFormat="1">
      <c r="A154" s="20">
        <v>154</v>
      </c>
      <c r="B154" s="42">
        <v>0.1</v>
      </c>
      <c r="C154" s="43">
        <v>0.29399999999999998</v>
      </c>
      <c r="D154" s="41">
        <v>0.21689790915264737</v>
      </c>
      <c r="E154" s="41">
        <v>5.93023365011235</v>
      </c>
      <c r="F154" s="44">
        <f t="shared" si="2"/>
        <v>93.852868440734994</v>
      </c>
      <c r="G154" s="7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</row>
    <row r="155" spans="1:45" s="10" customFormat="1">
      <c r="A155" s="20">
        <v>155</v>
      </c>
      <c r="B155" s="42">
        <v>4.7</v>
      </c>
      <c r="C155" s="43">
        <v>0.40600000000000003</v>
      </c>
      <c r="D155" s="41">
        <v>5.36416410407009</v>
      </c>
      <c r="E155" s="41">
        <v>20.853130055890745</v>
      </c>
      <c r="F155" s="44">
        <f t="shared" si="2"/>
        <v>73.782705840039171</v>
      </c>
      <c r="G155" s="7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</row>
    <row r="156" spans="1:45" s="10" customFormat="1">
      <c r="A156" s="20">
        <v>156</v>
      </c>
      <c r="B156" s="42">
        <v>1.2</v>
      </c>
      <c r="C156" s="43">
        <v>0.40899999999999997</v>
      </c>
      <c r="D156" s="41">
        <v>10.283517711888843</v>
      </c>
      <c r="E156" s="41">
        <v>24.539694807244992</v>
      </c>
      <c r="F156" s="44">
        <f t="shared" si="2"/>
        <v>65.176787480866153</v>
      </c>
      <c r="G156" s="7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</row>
    <row r="157" spans="1:45" s="10" customFormat="1">
      <c r="A157" s="20">
        <v>157</v>
      </c>
      <c r="B157" s="42">
        <v>0.4</v>
      </c>
      <c r="C157" s="43">
        <v>0.34899999999999998</v>
      </c>
      <c r="D157" s="41">
        <v>11.598256774884394</v>
      </c>
      <c r="E157" s="41">
        <v>25.465405742856664</v>
      </c>
      <c r="F157" s="44">
        <f t="shared" si="2"/>
        <v>62.936337482258949</v>
      </c>
      <c r="G157" s="7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</row>
    <row r="158" spans="1:45" s="10" customFormat="1">
      <c r="A158" s="20">
        <v>158</v>
      </c>
      <c r="B158" s="42">
        <v>0.2</v>
      </c>
      <c r="C158" s="43">
        <v>0.27600000000000002</v>
      </c>
      <c r="D158" s="41">
        <v>4.7467381316951602</v>
      </c>
      <c r="E158" s="41">
        <v>17.721090519920118</v>
      </c>
      <c r="F158" s="44">
        <f t="shared" si="2"/>
        <v>77.532171348384708</v>
      </c>
      <c r="G158" s="7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</row>
    <row r="159" spans="1:45" s="10" customFormat="1">
      <c r="A159" s="20">
        <v>159</v>
      </c>
      <c r="B159" s="42">
        <v>0.1</v>
      </c>
      <c r="C159" s="43">
        <v>0.25900000000000001</v>
      </c>
      <c r="D159" s="41">
        <v>0.90769767121117351</v>
      </c>
      <c r="E159" s="41">
        <v>8.6998490036604395</v>
      </c>
      <c r="F159" s="44">
        <f t="shared" si="2"/>
        <v>90.3924533251284</v>
      </c>
      <c r="G159" s="7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</row>
    <row r="160" spans="1:45" s="10" customFormat="1">
      <c r="A160" s="20">
        <v>160</v>
      </c>
      <c r="B160" s="42">
        <v>0.5</v>
      </c>
      <c r="C160" s="43">
        <v>0.40400000000000003</v>
      </c>
      <c r="D160" s="41">
        <v>2.3367611421419405</v>
      </c>
      <c r="E160" s="41">
        <v>17.086196564564055</v>
      </c>
      <c r="F160" s="44">
        <f t="shared" si="2"/>
        <v>80.577042293293999</v>
      </c>
      <c r="G160" s="7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</row>
    <row r="161" spans="1:45" s="10" customFormat="1">
      <c r="A161" s="20">
        <v>161</v>
      </c>
      <c r="B161" s="42">
        <v>0.4</v>
      </c>
      <c r="C161" s="43">
        <v>0.35799999999999998</v>
      </c>
      <c r="D161" s="41">
        <v>4.4508973815906208</v>
      </c>
      <c r="E161" s="41">
        <v>20.53032825343988</v>
      </c>
      <c r="F161" s="44">
        <f t="shared" si="2"/>
        <v>75.018774364969502</v>
      </c>
      <c r="G161" s="7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</row>
    <row r="162" spans="1:45" s="10" customFormat="1">
      <c r="A162" s="20">
        <v>162</v>
      </c>
      <c r="B162" s="42">
        <v>0.1</v>
      </c>
      <c r="C162" s="43">
        <v>0.32100000000000001</v>
      </c>
      <c r="D162" s="41">
        <v>0.42430108482180695</v>
      </c>
      <c r="E162" s="41">
        <v>8.8697779455877033</v>
      </c>
      <c r="F162" s="44">
        <f t="shared" si="2"/>
        <v>90.705920969590494</v>
      </c>
      <c r="G162" s="7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</row>
    <row r="163" spans="1:45" s="10" customFormat="1">
      <c r="A163" s="20">
        <v>163</v>
      </c>
      <c r="B163" s="42">
        <v>1.4</v>
      </c>
      <c r="C163" s="43">
        <v>0.44900000000000001</v>
      </c>
      <c r="D163" s="41">
        <v>3.6715727548840462</v>
      </c>
      <c r="E163" s="41">
        <v>20.069178680733891</v>
      </c>
      <c r="F163" s="44">
        <f t="shared" si="2"/>
        <v>76.259248564382062</v>
      </c>
      <c r="G163" s="7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</row>
    <row r="164" spans="1:45" s="10" customFormat="1">
      <c r="A164" s="20">
        <v>164</v>
      </c>
      <c r="B164" s="42">
        <v>0.3</v>
      </c>
      <c r="C164" s="43">
        <v>0.37</v>
      </c>
      <c r="D164" s="41">
        <v>4.9579898684148747</v>
      </c>
      <c r="E164" s="41">
        <v>21.899285812275899</v>
      </c>
      <c r="F164" s="44">
        <f t="shared" si="2"/>
        <v>73.142724319309224</v>
      </c>
      <c r="G164" s="7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</row>
    <row r="165" spans="1:45" s="10" customFormat="1">
      <c r="A165" s="21">
        <v>165</v>
      </c>
      <c r="B165" s="42">
        <v>0.2</v>
      </c>
      <c r="C165" s="43">
        <v>0.36799999999999999</v>
      </c>
      <c r="D165" s="41">
        <v>6.5689052753270776</v>
      </c>
      <c r="E165" s="41">
        <v>23.724564944064952</v>
      </c>
      <c r="F165" s="44">
        <f t="shared" si="2"/>
        <v>69.706529780607966</v>
      </c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</row>
    <row r="166" spans="1:45" s="14" customFormat="1">
      <c r="A166" s="21">
        <v>166</v>
      </c>
      <c r="B166" s="42">
        <v>0.3</v>
      </c>
      <c r="C166" s="43">
        <v>0.38700000000000001</v>
      </c>
      <c r="D166" s="41">
        <v>11.359464759042853</v>
      </c>
      <c r="E166" s="41">
        <v>26.610176010533415</v>
      </c>
      <c r="F166" s="44">
        <f t="shared" si="2"/>
        <v>62.030359230423734</v>
      </c>
      <c r="G166" s="35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</row>
    <row r="167" spans="1:45" s="10" customFormat="1">
      <c r="A167" s="20">
        <v>167</v>
      </c>
      <c r="B167" s="42">
        <v>0.1</v>
      </c>
      <c r="C167" s="43">
        <v>0.34699999999999998</v>
      </c>
      <c r="D167" s="41">
        <v>3.8473555225688898</v>
      </c>
      <c r="E167" s="41">
        <v>21.756245222034899</v>
      </c>
      <c r="F167" s="44">
        <f t="shared" si="2"/>
        <v>74.396399255396204</v>
      </c>
      <c r="G167" s="7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</row>
    <row r="168" spans="1:45" s="10" customFormat="1" ht="12.75" customHeight="1">
      <c r="A168" s="20">
        <v>168</v>
      </c>
      <c r="B168" s="42">
        <v>0</v>
      </c>
      <c r="C168" s="43">
        <v>0.32400000000000001</v>
      </c>
      <c r="D168" s="41">
        <v>0.1730417440712097</v>
      </c>
      <c r="E168" s="41">
        <v>7.2299973417010479</v>
      </c>
      <c r="F168" s="44">
        <f t="shared" si="2"/>
        <v>92.596960914227736</v>
      </c>
      <c r="G168" s="7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</row>
    <row r="169" spans="1:45" s="10" customFormat="1" ht="12" customHeight="1">
      <c r="A169" s="20">
        <v>169</v>
      </c>
      <c r="B169" s="42">
        <v>0.1</v>
      </c>
      <c r="C169" s="43">
        <v>0.32500000000000001</v>
      </c>
      <c r="D169" s="41">
        <v>0.73783884540932221</v>
      </c>
      <c r="E169" s="41">
        <v>14.949870705643852</v>
      </c>
      <c r="F169" s="44">
        <f t="shared" si="2"/>
        <v>84.312290448946825</v>
      </c>
      <c r="G169" s="7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</row>
    <row r="170" spans="1:45" s="10" customFormat="1">
      <c r="A170" s="20">
        <v>170</v>
      </c>
      <c r="B170" s="42">
        <v>2.5</v>
      </c>
      <c r="C170" s="43">
        <v>0.51</v>
      </c>
      <c r="D170" s="41">
        <v>1.2759836117487429</v>
      </c>
      <c r="E170" s="41">
        <v>18.319218218342932</v>
      </c>
      <c r="F170" s="44">
        <f t="shared" si="2"/>
        <v>80.404798169908332</v>
      </c>
      <c r="G170" s="7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</row>
    <row r="171" spans="1:45" s="10" customFormat="1">
      <c r="A171" s="20">
        <v>171</v>
      </c>
      <c r="B171" s="42">
        <v>0.6</v>
      </c>
      <c r="C171" s="43">
        <v>0.42199999999999999</v>
      </c>
      <c r="D171" s="41">
        <v>1.4096143231913378</v>
      </c>
      <c r="E171" s="41">
        <v>19.480192182312702</v>
      </c>
      <c r="F171" s="44">
        <f t="shared" si="2"/>
        <v>79.110193494495959</v>
      </c>
      <c r="G171" s="7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</row>
    <row r="172" spans="1:45" s="12" customFormat="1">
      <c r="A172" s="20">
        <v>172</v>
      </c>
      <c r="B172" s="42">
        <v>0.3</v>
      </c>
      <c r="C172" s="43">
        <v>0.373</v>
      </c>
      <c r="D172" s="41">
        <v>3.703259883960591</v>
      </c>
      <c r="E172" s="41">
        <v>24.043715250789315</v>
      </c>
      <c r="F172" s="44">
        <f t="shared" si="2"/>
        <v>72.253024865250097</v>
      </c>
      <c r="G172" s="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</row>
    <row r="173" spans="1:45" s="10" customFormat="1">
      <c r="A173" s="20">
        <v>173</v>
      </c>
      <c r="B173" s="42">
        <v>0.5</v>
      </c>
      <c r="C173" s="43">
        <v>0.378</v>
      </c>
      <c r="D173" s="41">
        <v>8.5527751203782429</v>
      </c>
      <c r="E173" s="41">
        <v>28.649376741258287</v>
      </c>
      <c r="F173" s="44">
        <f t="shared" si="2"/>
        <v>62.79784813836347</v>
      </c>
      <c r="G173" s="7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</row>
    <row r="174" spans="1:45" s="10" customFormat="1">
      <c r="A174" s="20">
        <v>174</v>
      </c>
      <c r="B174" s="42">
        <v>0.3</v>
      </c>
      <c r="C174" s="43">
        <v>0.38</v>
      </c>
      <c r="D174" s="41">
        <v>0.56147559994412533</v>
      </c>
      <c r="E174" s="41">
        <v>16.322315718807531</v>
      </c>
      <c r="F174" s="44">
        <f t="shared" si="2"/>
        <v>83.116208681248338</v>
      </c>
      <c r="G174" s="7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</row>
    <row r="175" spans="1:45" s="11" customFormat="1">
      <c r="A175" s="21">
        <v>175</v>
      </c>
      <c r="B175" s="42">
        <v>0.1</v>
      </c>
      <c r="C175" s="43">
        <v>0.40400000000000003</v>
      </c>
      <c r="D175" s="41">
        <v>4.9030345651426274E-5</v>
      </c>
      <c r="E175" s="41">
        <v>1.340524023683346</v>
      </c>
      <c r="F175" s="44">
        <f t="shared" si="2"/>
        <v>98.659426945971006</v>
      </c>
      <c r="G175" s="35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</row>
    <row r="176" spans="1:45" s="12" customFormat="1">
      <c r="A176" s="20">
        <v>176</v>
      </c>
      <c r="B176" s="42">
        <v>2.7</v>
      </c>
      <c r="C176" s="43">
        <v>0.36299999999999999</v>
      </c>
      <c r="D176" s="41">
        <v>10.60595508839468</v>
      </c>
      <c r="E176" s="41">
        <v>25.42294522007326</v>
      </c>
      <c r="F176" s="44">
        <f t="shared" si="2"/>
        <v>63.971099691532061</v>
      </c>
      <c r="G176" s="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</row>
    <row r="177" spans="1:45" s="10" customFormat="1">
      <c r="A177" s="20">
        <v>177</v>
      </c>
      <c r="B177" s="42">
        <v>0.5</v>
      </c>
      <c r="C177" s="43">
        <v>0.32500000000000001</v>
      </c>
      <c r="D177" s="41">
        <v>5.469355624710345</v>
      </c>
      <c r="E177" s="41">
        <v>21.520209196781749</v>
      </c>
      <c r="F177" s="44">
        <f t="shared" si="2"/>
        <v>73.010435178507905</v>
      </c>
      <c r="G177" s="7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</row>
    <row r="178" spans="1:45" s="12" customFormat="1">
      <c r="A178" s="20">
        <v>178</v>
      </c>
      <c r="B178" s="42">
        <v>0.3</v>
      </c>
      <c r="C178" s="43">
        <v>0.379</v>
      </c>
      <c r="D178" s="41">
        <v>5.6875314174574658</v>
      </c>
      <c r="E178" s="41">
        <v>22.197414233925954</v>
      </c>
      <c r="F178" s="44">
        <f t="shared" si="2"/>
        <v>72.115054348616582</v>
      </c>
      <c r="G178" s="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</row>
    <row r="179" spans="1:45" s="12" customFormat="1">
      <c r="A179" s="20">
        <v>179</v>
      </c>
      <c r="B179" s="42">
        <v>0.1</v>
      </c>
      <c r="C179" s="43">
        <v>0.35</v>
      </c>
      <c r="D179" s="41">
        <v>3.7239880979527822</v>
      </c>
      <c r="E179" s="41">
        <v>18.929981859991315</v>
      </c>
      <c r="F179" s="44">
        <f t="shared" si="2"/>
        <v>77.346030042055901</v>
      </c>
      <c r="G179" s="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</row>
    <row r="180" spans="1:45" s="12" customFormat="1">
      <c r="A180" s="20">
        <v>180</v>
      </c>
      <c r="B180" s="42">
        <v>0.1</v>
      </c>
      <c r="C180" s="43">
        <v>0.27500000000000002</v>
      </c>
      <c r="D180" s="41">
        <v>2.2214999406022664</v>
      </c>
      <c r="E180" s="41">
        <v>14.173716623402489</v>
      </c>
      <c r="F180" s="44">
        <f t="shared" si="2"/>
        <v>83.604783435995245</v>
      </c>
      <c r="G180" s="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</row>
    <row r="181" spans="1:45" s="10" customFormat="1">
      <c r="A181" s="20">
        <v>181</v>
      </c>
      <c r="B181" s="42">
        <v>0</v>
      </c>
      <c r="C181" s="43">
        <v>0.32400000000000001</v>
      </c>
      <c r="D181" s="41">
        <v>7.128674800101531E-2</v>
      </c>
      <c r="E181" s="41">
        <v>3.7501637220358131</v>
      </c>
      <c r="F181" s="44">
        <f t="shared" si="2"/>
        <v>96.178549529963178</v>
      </c>
      <c r="G181" s="7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</row>
    <row r="182" spans="1:45" s="10" customFormat="1">
      <c r="A182" s="20">
        <v>182</v>
      </c>
      <c r="B182" s="42">
        <v>0.5</v>
      </c>
      <c r="C182" s="43">
        <v>0.38</v>
      </c>
      <c r="D182" s="41">
        <v>1.1720617132377666</v>
      </c>
      <c r="E182" s="41">
        <v>13.349456788492315</v>
      </c>
      <c r="F182" s="44">
        <f t="shared" si="2"/>
        <v>85.478481498269915</v>
      </c>
      <c r="G182" s="7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</row>
    <row r="183" spans="1:45" s="10" customFormat="1">
      <c r="A183" s="20">
        <v>183</v>
      </c>
      <c r="B183" s="42">
        <v>0.3</v>
      </c>
      <c r="C183" s="43">
        <v>0.38300000000000001</v>
      </c>
      <c r="D183" s="41">
        <v>3.0883298844796867</v>
      </c>
      <c r="E183" s="41">
        <v>22.156916035472694</v>
      </c>
      <c r="F183" s="44">
        <f t="shared" si="2"/>
        <v>74.754754080047618</v>
      </c>
      <c r="G183" s="7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</row>
    <row r="184" spans="1:45" s="10" customFormat="1">
      <c r="A184" s="20">
        <v>184</v>
      </c>
      <c r="B184" s="42">
        <v>0.3</v>
      </c>
      <c r="C184" s="43">
        <v>0.41499999999999998</v>
      </c>
      <c r="D184" s="41">
        <v>9.1189240061762877</v>
      </c>
      <c r="E184" s="41">
        <v>27.372778948482292</v>
      </c>
      <c r="F184" s="44">
        <f t="shared" si="2"/>
        <v>63.508297045341422</v>
      </c>
      <c r="G184" s="7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</row>
    <row r="185" spans="1:45" s="10" customFormat="1">
      <c r="A185" s="20">
        <v>185</v>
      </c>
      <c r="B185" s="42">
        <v>0.1</v>
      </c>
      <c r="C185" s="43">
        <v>0.374</v>
      </c>
      <c r="D185" s="41">
        <v>2.8556471028686019</v>
      </c>
      <c r="E185" s="41">
        <v>20.048602122673135</v>
      </c>
      <c r="F185" s="44">
        <f t="shared" si="2"/>
        <v>77.095750774458267</v>
      </c>
      <c r="G185" s="7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</row>
    <row r="186" spans="1:45" s="10" customFormat="1">
      <c r="A186" s="20">
        <v>186</v>
      </c>
      <c r="B186" s="42">
        <v>0.1</v>
      </c>
      <c r="C186" s="43">
        <v>0.36699999999999999</v>
      </c>
      <c r="D186" s="41">
        <v>0.1244367036612901</v>
      </c>
      <c r="E186" s="41">
        <v>6.9418247307366965</v>
      </c>
      <c r="F186" s="44">
        <f t="shared" si="2"/>
        <v>92.933738565602013</v>
      </c>
      <c r="G186" s="7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</row>
    <row r="187" spans="1:45" s="10" customFormat="1">
      <c r="A187" s="20">
        <v>187</v>
      </c>
      <c r="B187" s="42">
        <v>1</v>
      </c>
      <c r="C187" s="43">
        <v>0.33300000000000002</v>
      </c>
      <c r="D187" s="41">
        <v>4.8613421120877076</v>
      </c>
      <c r="E187" s="41">
        <v>18.297133950932658</v>
      </c>
      <c r="F187" s="44">
        <f t="shared" si="2"/>
        <v>76.841523936979627</v>
      </c>
      <c r="G187" s="7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</row>
    <row r="188" spans="1:45" s="10" customFormat="1">
      <c r="A188" s="20">
        <v>188</v>
      </c>
      <c r="B188" s="42">
        <v>0.5</v>
      </c>
      <c r="C188" s="43">
        <v>0.32500000000000001</v>
      </c>
      <c r="D188" s="41">
        <v>7.6735404774345417</v>
      </c>
      <c r="E188" s="41">
        <v>21.226289846082615</v>
      </c>
      <c r="F188" s="44">
        <f t="shared" si="2"/>
        <v>71.100169676482835</v>
      </c>
      <c r="G188" s="7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</row>
    <row r="189" spans="1:45" s="10" customFormat="1">
      <c r="A189" s="20">
        <v>189</v>
      </c>
      <c r="B189" s="42">
        <v>0.2</v>
      </c>
      <c r="C189" s="43">
        <v>0.36099999999999999</v>
      </c>
      <c r="D189" s="41">
        <v>7.4152877631522882</v>
      </c>
      <c r="E189" s="41">
        <v>21.240121835966125</v>
      </c>
      <c r="F189" s="44">
        <f t="shared" si="2"/>
        <v>71.344590400881586</v>
      </c>
      <c r="G189" s="7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</row>
    <row r="190" spans="1:45" s="10" customFormat="1">
      <c r="A190" s="20">
        <v>190</v>
      </c>
      <c r="B190" s="42">
        <v>0.1</v>
      </c>
      <c r="C190" s="43">
        <v>0.318</v>
      </c>
      <c r="D190" s="41">
        <v>5.7224767671372563</v>
      </c>
      <c r="E190" s="41">
        <v>20.842884085004375</v>
      </c>
      <c r="F190" s="44">
        <f t="shared" si="2"/>
        <v>73.434639147858377</v>
      </c>
      <c r="G190" s="7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</row>
    <row r="191" spans="1:45" s="10" customFormat="1">
      <c r="A191" s="20">
        <v>191</v>
      </c>
      <c r="B191" s="42">
        <v>0.1</v>
      </c>
      <c r="C191" s="43">
        <v>0.27100000000000002</v>
      </c>
      <c r="D191" s="41">
        <v>2.5043809471169012</v>
      </c>
      <c r="E191" s="41">
        <v>16.458528250916931</v>
      </c>
      <c r="F191" s="44">
        <f t="shared" si="2"/>
        <v>81.037090801966173</v>
      </c>
      <c r="G191" s="7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</row>
    <row r="192" spans="1:45" s="11" customFormat="1">
      <c r="A192" s="21">
        <v>192</v>
      </c>
      <c r="B192" s="42">
        <v>2.5</v>
      </c>
      <c r="C192" s="43">
        <v>0.53</v>
      </c>
      <c r="D192" s="41">
        <v>5.8781360068447439</v>
      </c>
      <c r="E192" s="41">
        <v>24.070246007390679</v>
      </c>
      <c r="F192" s="44">
        <f t="shared" si="2"/>
        <v>70.05161798576458</v>
      </c>
      <c r="G192" s="35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</row>
    <row r="193" spans="1:45" s="10" customFormat="1">
      <c r="A193" s="20">
        <v>193</v>
      </c>
      <c r="B193" s="42">
        <v>0.9</v>
      </c>
      <c r="C193" s="43">
        <v>0.45600000000000002</v>
      </c>
      <c r="D193" s="41">
        <v>6.7319816396678567</v>
      </c>
      <c r="E193" s="41">
        <v>25.220401401375867</v>
      </c>
      <c r="F193" s="44">
        <f t="shared" si="2"/>
        <v>68.047616958956283</v>
      </c>
      <c r="G193" s="7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</row>
    <row r="194" spans="1:45" s="10" customFormat="1">
      <c r="A194" s="20">
        <v>194</v>
      </c>
      <c r="B194" s="42">
        <v>0.3</v>
      </c>
      <c r="C194" s="43">
        <v>0.42</v>
      </c>
      <c r="D194" s="41">
        <v>8.9287403180781428</v>
      </c>
      <c r="E194" s="41">
        <v>26.804302931924688</v>
      </c>
      <c r="F194" s="44">
        <f t="shared" si="2"/>
        <v>64.266956749997178</v>
      </c>
      <c r="G194" s="7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</row>
    <row r="195" spans="1:45" s="10" customFormat="1">
      <c r="A195" s="20">
        <v>195</v>
      </c>
      <c r="B195" s="42">
        <v>0.3</v>
      </c>
      <c r="C195" s="43">
        <v>0.41</v>
      </c>
      <c r="D195" s="41">
        <v>13.455681283120185</v>
      </c>
      <c r="E195" s="41">
        <v>29.25328447780651</v>
      </c>
      <c r="F195" s="44">
        <f t="shared" si="2"/>
        <v>57.291034239073305</v>
      </c>
      <c r="G195" s="7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</row>
    <row r="196" spans="1:45" s="10" customFormat="1">
      <c r="A196" s="20">
        <v>196</v>
      </c>
      <c r="B196" s="42">
        <v>0.1</v>
      </c>
      <c r="C196" s="43">
        <v>0.38400000000000001</v>
      </c>
      <c r="D196" s="41">
        <v>3.7523057227277246</v>
      </c>
      <c r="E196" s="41">
        <v>21.868985885846079</v>
      </c>
      <c r="F196" s="44">
        <f t="shared" si="2"/>
        <v>74.378708391426187</v>
      </c>
      <c r="G196" s="7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</row>
    <row r="197" spans="1:45" s="10" customFormat="1">
      <c r="A197" s="20">
        <v>197</v>
      </c>
      <c r="B197" s="42">
        <v>0</v>
      </c>
      <c r="C197" s="43">
        <v>0.33500000000000002</v>
      </c>
      <c r="D197" s="41">
        <v>2.2448848971100563E-3</v>
      </c>
      <c r="E197" s="41">
        <v>1.0683549491581121</v>
      </c>
      <c r="F197" s="44">
        <f t="shared" ref="F197:F260" si="3">100-D197-E197</f>
        <v>98.929400165944784</v>
      </c>
      <c r="G197" s="7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</row>
    <row r="198" spans="1:45" s="10" customFormat="1">
      <c r="A198" s="20">
        <v>198</v>
      </c>
      <c r="B198" s="42">
        <v>1.8</v>
      </c>
      <c r="C198" s="43">
        <v>0.49</v>
      </c>
      <c r="D198" s="41">
        <v>0.40587811283312608</v>
      </c>
      <c r="E198" s="41">
        <v>17.242325438682176</v>
      </c>
      <c r="F198" s="44">
        <f t="shared" si="3"/>
        <v>82.351796448484706</v>
      </c>
      <c r="G198" s="7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</row>
    <row r="199" spans="1:45" s="10" customFormat="1">
      <c r="A199" s="20">
        <v>199</v>
      </c>
      <c r="B199" s="42">
        <v>0.7</v>
      </c>
      <c r="C199" s="43">
        <v>0.46200000000000002</v>
      </c>
      <c r="D199" s="41">
        <v>0.432227669412172</v>
      </c>
      <c r="E199" s="41">
        <v>18.349894125373837</v>
      </c>
      <c r="F199" s="44">
        <f t="shared" si="3"/>
        <v>81.217878205213992</v>
      </c>
      <c r="G199" s="7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</row>
    <row r="200" spans="1:45" s="10" customFormat="1">
      <c r="A200" s="20">
        <v>200</v>
      </c>
      <c r="B200" s="42">
        <v>0.3</v>
      </c>
      <c r="C200" s="43">
        <v>0.38600000000000001</v>
      </c>
      <c r="D200" s="41">
        <v>0.95024536269872584</v>
      </c>
      <c r="E200" s="41">
        <v>25.537805639034762</v>
      </c>
      <c r="F200" s="44">
        <f t="shared" si="3"/>
        <v>73.511948998266519</v>
      </c>
      <c r="G200" s="7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</row>
    <row r="201" spans="1:45" s="10" customFormat="1">
      <c r="A201" s="20">
        <v>201</v>
      </c>
      <c r="B201" s="42">
        <v>0.2</v>
      </c>
      <c r="C201" s="43">
        <v>0.372</v>
      </c>
      <c r="D201" s="41">
        <v>3.6716115291705527</v>
      </c>
      <c r="E201" s="41">
        <v>32.793341562793202</v>
      </c>
      <c r="F201" s="44">
        <f t="shared" si="3"/>
        <v>63.53504690803625</v>
      </c>
      <c r="G201" s="7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</row>
    <row r="202" spans="1:45" s="12" customFormat="1">
      <c r="A202" s="20">
        <v>202</v>
      </c>
      <c r="B202" s="42">
        <v>0.1</v>
      </c>
      <c r="C202" s="43">
        <v>0.40600000000000003</v>
      </c>
      <c r="D202" s="41">
        <v>0.28724376035442034</v>
      </c>
      <c r="E202" s="41">
        <v>31.0062575778854</v>
      </c>
      <c r="F202" s="44">
        <f t="shared" si="3"/>
        <v>68.706498661760179</v>
      </c>
      <c r="G202" s="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</row>
    <row r="203" spans="1:45" s="12" customFormat="1">
      <c r="A203" s="20">
        <v>203</v>
      </c>
      <c r="B203" s="42">
        <v>4.2</v>
      </c>
      <c r="C203" s="43">
        <v>0.44600000000000001</v>
      </c>
      <c r="D203" s="41">
        <v>6.999888435761485</v>
      </c>
      <c r="E203" s="41">
        <v>19.791539792445853</v>
      </c>
      <c r="F203" s="44">
        <f t="shared" si="3"/>
        <v>73.208571771792663</v>
      </c>
      <c r="G203" s="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</row>
    <row r="204" spans="1:45" s="12" customFormat="1">
      <c r="A204" s="20">
        <v>204</v>
      </c>
      <c r="B204" s="42">
        <v>0.9</v>
      </c>
      <c r="C204" s="43">
        <v>0.437</v>
      </c>
      <c r="D204" s="41">
        <v>11.609578320752076</v>
      </c>
      <c r="E204" s="41">
        <v>21.650147127026131</v>
      </c>
      <c r="F204" s="44">
        <f t="shared" si="3"/>
        <v>66.740274552221791</v>
      </c>
      <c r="G204" s="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</row>
    <row r="205" spans="1:45" s="12" customFormat="1">
      <c r="A205" s="20">
        <v>205</v>
      </c>
      <c r="B205" s="42">
        <v>0.5</v>
      </c>
      <c r="C205" s="43">
        <v>0.379</v>
      </c>
      <c r="D205" s="41">
        <v>14.930400940962349</v>
      </c>
      <c r="E205" s="41">
        <v>22.554899386693762</v>
      </c>
      <c r="F205" s="44">
        <f t="shared" si="3"/>
        <v>62.514699672343895</v>
      </c>
      <c r="G205" s="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</row>
    <row r="206" spans="1:45" s="10" customFormat="1">
      <c r="A206" s="20">
        <v>206</v>
      </c>
      <c r="B206" s="42">
        <v>2.5</v>
      </c>
      <c r="C206" s="43">
        <v>0.51600000000000001</v>
      </c>
      <c r="D206" s="41">
        <v>11.823415887600561</v>
      </c>
      <c r="E206" s="41">
        <v>25.000692351652511</v>
      </c>
      <c r="F206" s="44">
        <f t="shared" si="3"/>
        <v>63.175891760746929</v>
      </c>
      <c r="G206" s="7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</row>
    <row r="207" spans="1:45" s="12" customFormat="1">
      <c r="A207" s="20">
        <v>207</v>
      </c>
      <c r="B207" s="42">
        <v>0.7</v>
      </c>
      <c r="C207" s="43">
        <v>0.44</v>
      </c>
      <c r="D207" s="41">
        <v>13.178149937013552</v>
      </c>
      <c r="E207" s="41">
        <v>26.181476616432818</v>
      </c>
      <c r="F207" s="44">
        <f t="shared" si="3"/>
        <v>60.640373446553625</v>
      </c>
      <c r="G207" s="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</row>
    <row r="208" spans="1:45" s="12" customFormat="1">
      <c r="A208" s="20">
        <v>208</v>
      </c>
      <c r="B208" s="42">
        <v>0.7</v>
      </c>
      <c r="C208" s="43">
        <v>0.40699999999999997</v>
      </c>
      <c r="D208" s="41">
        <v>15.247375869359644</v>
      </c>
      <c r="E208" s="41">
        <v>27.863558848554064</v>
      </c>
      <c r="F208" s="44">
        <f t="shared" si="3"/>
        <v>56.889065282086293</v>
      </c>
      <c r="G208" s="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</row>
    <row r="209" spans="1:45" s="12" customFormat="1">
      <c r="A209" s="20">
        <v>209</v>
      </c>
      <c r="B209" s="42">
        <v>0.5</v>
      </c>
      <c r="C209" s="43">
        <v>0.39100000000000001</v>
      </c>
      <c r="D209" s="41">
        <v>18.905541188308064</v>
      </c>
      <c r="E209" s="41">
        <v>27.345431516476438</v>
      </c>
      <c r="F209" s="44">
        <f t="shared" si="3"/>
        <v>53.749027295215498</v>
      </c>
      <c r="G209" s="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</row>
    <row r="210" spans="1:45" s="12" customFormat="1">
      <c r="A210" s="20">
        <v>210</v>
      </c>
      <c r="B210" s="42">
        <v>0.1</v>
      </c>
      <c r="C210" s="43">
        <v>0.37</v>
      </c>
      <c r="D210" s="41">
        <v>13.505882591828192</v>
      </c>
      <c r="E210" s="41">
        <v>19.75542737263445</v>
      </c>
      <c r="F210" s="44">
        <f t="shared" si="3"/>
        <v>66.73869003553736</v>
      </c>
      <c r="G210" s="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</row>
    <row r="211" spans="1:45" s="12" customFormat="1">
      <c r="A211" s="20">
        <v>211</v>
      </c>
      <c r="B211" s="42">
        <v>2</v>
      </c>
      <c r="C211" s="43">
        <v>0.41199999999999998</v>
      </c>
      <c r="D211" s="41">
        <v>11.738279162449212</v>
      </c>
      <c r="E211" s="41">
        <v>23.665125848576075</v>
      </c>
      <c r="F211" s="44">
        <f t="shared" si="3"/>
        <v>64.596594988974715</v>
      </c>
      <c r="G211" s="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</row>
    <row r="212" spans="1:45" s="10" customFormat="1">
      <c r="A212" s="20">
        <v>212</v>
      </c>
      <c r="B212" s="42">
        <v>0.4</v>
      </c>
      <c r="C212" s="43">
        <v>0.36799999999999999</v>
      </c>
      <c r="D212" s="41">
        <v>18.436495091648485</v>
      </c>
      <c r="E212" s="41">
        <v>24.546957466511483</v>
      </c>
      <c r="F212" s="44">
        <f t="shared" si="3"/>
        <v>57.016547441840032</v>
      </c>
      <c r="G212" s="7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</row>
    <row r="213" spans="1:45" s="10" customFormat="1">
      <c r="A213" s="20">
        <v>213</v>
      </c>
      <c r="B213" s="42">
        <v>0.3</v>
      </c>
      <c r="C213" s="43">
        <v>0.41699999999999998</v>
      </c>
      <c r="D213" s="41">
        <v>22.171359472132334</v>
      </c>
      <c r="E213" s="41">
        <v>23.865192869180593</v>
      </c>
      <c r="F213" s="44">
        <f t="shared" si="3"/>
        <v>53.963447658687073</v>
      </c>
      <c r="G213" s="7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</row>
    <row r="214" spans="1:45" s="10" customFormat="1">
      <c r="A214" s="20">
        <v>214</v>
      </c>
      <c r="B214" s="42">
        <v>0.1</v>
      </c>
      <c r="C214" s="43">
        <v>0.35099999999999998</v>
      </c>
      <c r="D214" s="41">
        <v>13.375377624498377</v>
      </c>
      <c r="E214" s="41">
        <v>19.884112893780809</v>
      </c>
      <c r="F214" s="44">
        <f t="shared" si="3"/>
        <v>66.740509481720807</v>
      </c>
      <c r="G214" s="7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</row>
    <row r="215" spans="1:45" s="10" customFormat="1">
      <c r="A215" s="20">
        <v>215</v>
      </c>
      <c r="B215" s="42">
        <v>4.5999999999999996</v>
      </c>
      <c r="C215" s="43">
        <v>0.59099999999999997</v>
      </c>
      <c r="D215" s="41">
        <v>4.6177530955897099</v>
      </c>
      <c r="E215" s="41">
        <v>30.473610035278295</v>
      </c>
      <c r="F215" s="44">
        <f t="shared" si="3"/>
        <v>64.908636869131996</v>
      </c>
      <c r="G215" s="7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</row>
    <row r="216" spans="1:45" s="12" customFormat="1">
      <c r="A216" s="20">
        <v>216</v>
      </c>
      <c r="B216" s="42">
        <v>0.5</v>
      </c>
      <c r="C216" s="43">
        <v>0.45100000000000001</v>
      </c>
      <c r="D216" s="41">
        <v>3.8913472716834998</v>
      </c>
      <c r="E216" s="41">
        <v>29.841644718087132</v>
      </c>
      <c r="F216" s="44">
        <f t="shared" si="3"/>
        <v>66.267008010229375</v>
      </c>
      <c r="G216" s="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</row>
    <row r="217" spans="1:45" s="10" customFormat="1">
      <c r="A217" s="20">
        <v>217</v>
      </c>
      <c r="B217" s="42">
        <v>0.3</v>
      </c>
      <c r="C217" s="43">
        <v>0.376</v>
      </c>
      <c r="D217" s="41">
        <v>4.8636702948747823</v>
      </c>
      <c r="E217" s="41">
        <v>30.362938387545082</v>
      </c>
      <c r="F217" s="44">
        <f t="shared" si="3"/>
        <v>64.773391317580135</v>
      </c>
      <c r="G217" s="7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</row>
    <row r="218" spans="1:45" s="12" customFormat="1">
      <c r="A218" s="20">
        <v>218</v>
      </c>
      <c r="B218" s="42">
        <v>0.2</v>
      </c>
      <c r="C218" s="43">
        <v>0.36899999999999999</v>
      </c>
      <c r="D218" s="41">
        <v>9.7926250501504004</v>
      </c>
      <c r="E218" s="41">
        <v>32.09174975407111</v>
      </c>
      <c r="F218" s="44">
        <f t="shared" si="3"/>
        <v>58.115625195778485</v>
      </c>
      <c r="G218" s="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</row>
    <row r="219" spans="1:45" s="12" customFormat="1">
      <c r="A219" s="20">
        <v>219</v>
      </c>
      <c r="B219" s="42">
        <v>0.1</v>
      </c>
      <c r="C219" s="43">
        <v>0.377</v>
      </c>
      <c r="D219" s="41">
        <v>3.1074758163241154</v>
      </c>
      <c r="E219" s="41">
        <v>27.642702221592355</v>
      </c>
      <c r="F219" s="44">
        <f t="shared" si="3"/>
        <v>69.24982196208353</v>
      </c>
      <c r="G219" s="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</row>
    <row r="220" spans="1:45" s="12" customFormat="1">
      <c r="A220" s="20">
        <v>220</v>
      </c>
      <c r="B220" s="42">
        <v>0.1</v>
      </c>
      <c r="C220" s="43">
        <v>0.41299999999999998</v>
      </c>
      <c r="D220" s="41">
        <v>0.5022568735015871</v>
      </c>
      <c r="E220" s="41">
        <v>18.569488431559904</v>
      </c>
      <c r="F220" s="44">
        <f t="shared" si="3"/>
        <v>80.928254694938502</v>
      </c>
      <c r="G220" s="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</row>
    <row r="221" spans="1:45" s="12" customFormat="1">
      <c r="A221" s="20">
        <v>221</v>
      </c>
      <c r="B221" s="42">
        <v>1.7</v>
      </c>
      <c r="C221" s="43">
        <v>0.57599999999999996</v>
      </c>
      <c r="D221" s="41">
        <v>7.9608102345444927</v>
      </c>
      <c r="E221" s="41">
        <v>25.477444616805112</v>
      </c>
      <c r="F221" s="44">
        <f t="shared" si="3"/>
        <v>66.561745148650388</v>
      </c>
      <c r="G221" s="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</row>
    <row r="222" spans="1:45" s="10" customFormat="1">
      <c r="A222" s="20">
        <v>222</v>
      </c>
      <c r="B222" s="42">
        <v>0.5</v>
      </c>
      <c r="C222" s="43">
        <v>0.45800000000000002</v>
      </c>
      <c r="D222" s="41">
        <v>6.7380398750172281</v>
      </c>
      <c r="E222" s="41">
        <v>24.835765018741789</v>
      </c>
      <c r="F222" s="44">
        <f t="shared" si="3"/>
        <v>68.426195106240982</v>
      </c>
      <c r="G222" s="7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</row>
    <row r="223" spans="1:45" s="10" customFormat="1">
      <c r="A223" s="20">
        <v>223</v>
      </c>
      <c r="B223" s="42">
        <v>0.4</v>
      </c>
      <c r="C223" s="43">
        <v>0.43099999999999999</v>
      </c>
      <c r="D223" s="41">
        <v>7.4193122771685838</v>
      </c>
      <c r="E223" s="41">
        <v>25.600907227228792</v>
      </c>
      <c r="F223" s="44">
        <f t="shared" si="3"/>
        <v>66.979780495602625</v>
      </c>
      <c r="G223" s="7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</row>
    <row r="224" spans="1:45" s="12" customFormat="1">
      <c r="A224" s="20">
        <v>224</v>
      </c>
      <c r="B224" s="42">
        <v>0.2</v>
      </c>
      <c r="C224" s="43">
        <v>0.40699999999999997</v>
      </c>
      <c r="D224" s="41">
        <v>12.795172638222422</v>
      </c>
      <c r="E224" s="41">
        <v>27.823806610066409</v>
      </c>
      <c r="F224" s="44">
        <f t="shared" si="3"/>
        <v>59.381020751711162</v>
      </c>
      <c r="G224" s="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</row>
    <row r="225" spans="1:45" s="10" customFormat="1">
      <c r="A225" s="20">
        <v>225</v>
      </c>
      <c r="B225" s="42">
        <v>0.2</v>
      </c>
      <c r="C225" s="43">
        <v>0.38</v>
      </c>
      <c r="D225" s="41">
        <v>15.098629613000861</v>
      </c>
      <c r="E225" s="41">
        <v>28.282280126644473</v>
      </c>
      <c r="F225" s="44">
        <f t="shared" si="3"/>
        <v>56.61909026035466</v>
      </c>
      <c r="G225" s="7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</row>
    <row r="226" spans="1:45" s="12" customFormat="1">
      <c r="A226" s="20">
        <v>226</v>
      </c>
      <c r="B226" s="42">
        <v>0.1</v>
      </c>
      <c r="C226" s="43">
        <v>0.36199999999999999</v>
      </c>
      <c r="D226" s="41">
        <v>10.563675007894545</v>
      </c>
      <c r="E226" s="41">
        <v>26.729919132239537</v>
      </c>
      <c r="F226" s="44">
        <f t="shared" si="3"/>
        <v>62.706405859865917</v>
      </c>
      <c r="G226" s="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</row>
    <row r="227" spans="1:45" s="10" customFormat="1">
      <c r="A227" s="20">
        <v>227</v>
      </c>
      <c r="B227" s="42">
        <v>0</v>
      </c>
      <c r="C227" s="43">
        <v>0.40600000000000003</v>
      </c>
      <c r="D227" s="41">
        <v>1.9870856529103316</v>
      </c>
      <c r="E227" s="41">
        <v>17.978573014657947</v>
      </c>
      <c r="F227" s="44">
        <f t="shared" si="3"/>
        <v>80.034341332431723</v>
      </c>
      <c r="G227" s="7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</row>
    <row r="228" spans="1:45" s="12" customFormat="1">
      <c r="A228" s="20">
        <v>228</v>
      </c>
      <c r="B228" s="42">
        <v>4.0999999999999996</v>
      </c>
      <c r="C228" s="43">
        <v>0.44800000000000001</v>
      </c>
      <c r="D228" s="41">
        <v>13.728394938890665</v>
      </c>
      <c r="E228" s="41">
        <v>27.14025050468905</v>
      </c>
      <c r="F228" s="44">
        <f t="shared" si="3"/>
        <v>59.131354556420291</v>
      </c>
      <c r="G228" s="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</row>
    <row r="229" spans="1:45" s="12" customFormat="1">
      <c r="A229" s="20">
        <v>229</v>
      </c>
      <c r="B229" s="42">
        <v>2.6</v>
      </c>
      <c r="C229" s="43">
        <v>0.44400000000000001</v>
      </c>
      <c r="D229" s="41">
        <v>13.975567931449881</v>
      </c>
      <c r="E229" s="41">
        <v>27.494109903893012</v>
      </c>
      <c r="F229" s="44">
        <f t="shared" si="3"/>
        <v>58.5303221646571</v>
      </c>
      <c r="G229" s="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</row>
    <row r="230" spans="1:45" s="10" customFormat="1">
      <c r="A230" s="20">
        <v>230</v>
      </c>
      <c r="B230" s="42">
        <v>0.9</v>
      </c>
      <c r="C230" s="43">
        <v>0.437</v>
      </c>
      <c r="D230" s="41">
        <v>13.589601897402654</v>
      </c>
      <c r="E230" s="41">
        <v>27.257783496245061</v>
      </c>
      <c r="F230" s="44">
        <f t="shared" si="3"/>
        <v>59.15261460635228</v>
      </c>
      <c r="G230" s="7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</row>
    <row r="231" spans="1:45" s="12" customFormat="1">
      <c r="A231" s="20">
        <v>231</v>
      </c>
      <c r="B231" s="42">
        <v>0.4</v>
      </c>
      <c r="C231" s="43">
        <v>0.438</v>
      </c>
      <c r="D231" s="41">
        <v>22.554156998664016</v>
      </c>
      <c r="E231" s="41">
        <v>27.866666545364968</v>
      </c>
      <c r="F231" s="44">
        <f t="shared" si="3"/>
        <v>49.579176455971023</v>
      </c>
      <c r="G231" s="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</row>
    <row r="232" spans="1:45" s="12" customFormat="1">
      <c r="A232" s="20">
        <v>232</v>
      </c>
      <c r="B232" s="42">
        <v>0.2</v>
      </c>
      <c r="C232" s="43">
        <v>0.41599999999999998</v>
      </c>
      <c r="D232" s="41">
        <v>17.723218769284586</v>
      </c>
      <c r="E232" s="41">
        <v>27.486998808210139</v>
      </c>
      <c r="F232" s="44">
        <f t="shared" si="3"/>
        <v>54.789782422505276</v>
      </c>
      <c r="G232" s="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</row>
    <row r="233" spans="1:45" s="12" customFormat="1">
      <c r="A233" s="20">
        <v>233</v>
      </c>
      <c r="B233" s="42">
        <v>0.1</v>
      </c>
      <c r="C233" s="43">
        <v>0.39300000000000002</v>
      </c>
      <c r="D233" s="41">
        <v>3.0919358836989526</v>
      </c>
      <c r="E233" s="41">
        <v>18.507882278408267</v>
      </c>
      <c r="F233" s="44">
        <f t="shared" si="3"/>
        <v>78.400181837892774</v>
      </c>
      <c r="G233" s="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</row>
    <row r="234" spans="1:45" s="10" customFormat="1">
      <c r="A234" s="20">
        <v>234</v>
      </c>
      <c r="B234" s="42">
        <v>0.1</v>
      </c>
      <c r="C234" s="43">
        <v>0.39800000000000002</v>
      </c>
      <c r="D234" s="41">
        <v>0.15763841909279439</v>
      </c>
      <c r="E234" s="41">
        <v>6.5436560862926729</v>
      </c>
      <c r="F234" s="44">
        <f t="shared" si="3"/>
        <v>93.298705494614538</v>
      </c>
      <c r="G234" s="7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</row>
    <row r="235" spans="1:45" s="10" customFormat="1">
      <c r="A235" s="20">
        <v>235</v>
      </c>
      <c r="B235" s="42">
        <v>9.4</v>
      </c>
      <c r="C235" s="43">
        <v>0.55800000000000005</v>
      </c>
      <c r="D235" s="41">
        <v>17.854585989618698</v>
      </c>
      <c r="E235" s="41">
        <v>40.594610393463803</v>
      </c>
      <c r="F235" s="44">
        <f t="shared" si="3"/>
        <v>41.550803616917499</v>
      </c>
      <c r="G235" s="7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</row>
    <row r="236" spans="1:45" s="10" customFormat="1">
      <c r="A236" s="20">
        <v>236</v>
      </c>
      <c r="B236" s="42">
        <v>1.7</v>
      </c>
      <c r="C236" s="43">
        <v>0.47499999999999998</v>
      </c>
      <c r="D236" s="41">
        <v>20.269414805184454</v>
      </c>
      <c r="E236" s="41">
        <v>36.558637689486261</v>
      </c>
      <c r="F236" s="44">
        <f t="shared" si="3"/>
        <v>43.171947505329285</v>
      </c>
      <c r="G236" s="7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</row>
    <row r="237" spans="1:45" s="10" customFormat="1">
      <c r="A237" s="20">
        <v>237</v>
      </c>
      <c r="B237" s="42">
        <v>0.5</v>
      </c>
      <c r="C237" s="43">
        <v>0.45500000000000002</v>
      </c>
      <c r="D237" s="41">
        <v>18.711632926807685</v>
      </c>
      <c r="E237" s="41">
        <v>45.982053086963603</v>
      </c>
      <c r="F237" s="44">
        <f t="shared" si="3"/>
        <v>35.306313986228716</v>
      </c>
      <c r="G237" s="7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</row>
    <row r="238" spans="1:45" s="12" customFormat="1">
      <c r="A238" s="20">
        <v>238</v>
      </c>
      <c r="B238" s="42">
        <v>0.5</v>
      </c>
      <c r="C238" s="43">
        <v>0.44700000000000001</v>
      </c>
      <c r="D238" s="41">
        <v>22.025137798212786</v>
      </c>
      <c r="E238" s="41">
        <v>51.609031965885293</v>
      </c>
      <c r="F238" s="44">
        <f t="shared" si="3"/>
        <v>26.365830235901925</v>
      </c>
      <c r="G238" s="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</row>
    <row r="239" spans="1:45" s="12" customFormat="1">
      <c r="A239" s="20">
        <v>239</v>
      </c>
      <c r="B239" s="42">
        <v>0.4</v>
      </c>
      <c r="C239" s="43">
        <v>0.42799999999999999</v>
      </c>
      <c r="D239" s="41">
        <v>23.690787061228008</v>
      </c>
      <c r="E239" s="41">
        <v>54.839699859200252</v>
      </c>
      <c r="F239" s="44">
        <f t="shared" si="3"/>
        <v>21.46951307957174</v>
      </c>
      <c r="G239" s="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</row>
    <row r="240" spans="1:45" s="12" customFormat="1">
      <c r="A240" s="20">
        <v>240</v>
      </c>
      <c r="B240" s="42">
        <v>0.4</v>
      </c>
      <c r="C240" s="43">
        <v>0.32100000000000001</v>
      </c>
      <c r="D240" s="41">
        <v>21.165301498336284</v>
      </c>
      <c r="E240" s="41">
        <v>33.301388786192987</v>
      </c>
      <c r="F240" s="44">
        <f t="shared" si="3"/>
        <v>45.533309715470736</v>
      </c>
      <c r="G240" s="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</row>
    <row r="241" spans="1:45" s="12" customFormat="1">
      <c r="A241" s="20">
        <v>241</v>
      </c>
      <c r="B241" s="42">
        <v>0.2</v>
      </c>
      <c r="C241" s="43">
        <v>0.316</v>
      </c>
      <c r="D241" s="41">
        <v>3.7828926067349928</v>
      </c>
      <c r="E241" s="41">
        <v>19.676711347560012</v>
      </c>
      <c r="F241" s="44">
        <f t="shared" si="3"/>
        <v>76.540396045704995</v>
      </c>
      <c r="G241" s="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</row>
    <row r="242" spans="1:45" s="10" customFormat="1">
      <c r="A242" s="20">
        <v>242</v>
      </c>
      <c r="B242" s="42">
        <v>7</v>
      </c>
      <c r="C242" s="43">
        <v>0.61599999999999999</v>
      </c>
      <c r="D242" s="41">
        <v>18.17826103293222</v>
      </c>
      <c r="E242" s="41">
        <v>52.090578135157337</v>
      </c>
      <c r="F242" s="44">
        <f t="shared" si="3"/>
        <v>29.731160831910437</v>
      </c>
      <c r="G242" s="7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</row>
    <row r="243" spans="1:45" s="12" customFormat="1">
      <c r="A243" s="20">
        <v>243</v>
      </c>
      <c r="B243" s="42">
        <v>1.5</v>
      </c>
      <c r="C243" s="43">
        <v>0.5</v>
      </c>
      <c r="D243" s="41">
        <v>16.500410804332471</v>
      </c>
      <c r="E243" s="41">
        <v>50.896224826565359</v>
      </c>
      <c r="F243" s="44">
        <f t="shared" si="3"/>
        <v>32.603364369102167</v>
      </c>
      <c r="G243" s="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</row>
    <row r="244" spans="1:45" s="12" customFormat="1">
      <c r="A244" s="20">
        <v>244</v>
      </c>
      <c r="B244" s="42">
        <v>0.5</v>
      </c>
      <c r="C244" s="43">
        <v>0.43</v>
      </c>
      <c r="D244" s="41">
        <v>19.053638545679114</v>
      </c>
      <c r="E244" s="41">
        <v>50.90214545021994</v>
      </c>
      <c r="F244" s="44">
        <f t="shared" si="3"/>
        <v>30.044216004100939</v>
      </c>
      <c r="G244" s="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</row>
    <row r="245" spans="1:45" s="12" customFormat="1">
      <c r="A245" s="20">
        <v>245</v>
      </c>
      <c r="B245" s="42">
        <v>0.3</v>
      </c>
      <c r="C245" s="43">
        <v>0.41799999999999998</v>
      </c>
      <c r="D245" s="41">
        <v>22.780499456102113</v>
      </c>
      <c r="E245" s="41">
        <v>45.192760887156219</v>
      </c>
      <c r="F245" s="44">
        <f t="shared" si="3"/>
        <v>32.026739656741661</v>
      </c>
      <c r="G245" s="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</row>
    <row r="246" spans="1:45" s="12" customFormat="1">
      <c r="A246" s="20">
        <v>246</v>
      </c>
      <c r="B246" s="42">
        <v>0.1</v>
      </c>
      <c r="C246" s="43">
        <v>0.32100000000000001</v>
      </c>
      <c r="D246" s="41">
        <v>15.196505140837877</v>
      </c>
      <c r="E246" s="41">
        <v>29.311517344276503</v>
      </c>
      <c r="F246" s="44">
        <f t="shared" si="3"/>
        <v>55.491977514885626</v>
      </c>
      <c r="G246" s="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</row>
    <row r="247" spans="1:45" s="10" customFormat="1">
      <c r="A247" s="20">
        <v>247</v>
      </c>
      <c r="B247" s="42">
        <v>0.1</v>
      </c>
      <c r="C247" s="43">
        <v>0.28799999999999998</v>
      </c>
      <c r="D247" s="41">
        <v>11.775641729817639</v>
      </c>
      <c r="E247" s="41">
        <v>24.899861332161652</v>
      </c>
      <c r="F247" s="44">
        <f t="shared" si="3"/>
        <v>63.324496938020715</v>
      </c>
      <c r="G247" s="7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</row>
    <row r="248" spans="1:45" s="12" customFormat="1">
      <c r="A248" s="20">
        <v>248</v>
      </c>
      <c r="B248" s="42">
        <v>2</v>
      </c>
      <c r="C248" s="43">
        <v>0.42299999999999999</v>
      </c>
      <c r="D248" s="41">
        <v>14.052773812718829</v>
      </c>
      <c r="E248" s="41">
        <v>64.311814270588286</v>
      </c>
      <c r="F248" s="44">
        <f t="shared" si="3"/>
        <v>21.635411916692888</v>
      </c>
      <c r="G248" s="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</row>
    <row r="249" spans="1:45" s="12" customFormat="1">
      <c r="A249" s="20">
        <v>249</v>
      </c>
      <c r="B249" s="42">
        <v>0.7</v>
      </c>
      <c r="C249" s="43">
        <v>0.442</v>
      </c>
      <c r="D249" s="41">
        <v>19.313578952222649</v>
      </c>
      <c r="E249" s="41">
        <v>65.096704200556502</v>
      </c>
      <c r="F249" s="44">
        <f t="shared" si="3"/>
        <v>15.589716847220842</v>
      </c>
      <c r="G249" s="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</row>
    <row r="250" spans="1:45" s="14" customFormat="1">
      <c r="A250" s="20">
        <v>250</v>
      </c>
      <c r="B250" s="42">
        <v>0.4</v>
      </c>
      <c r="C250" s="43">
        <v>0.436</v>
      </c>
      <c r="D250" s="41">
        <v>27.451084106534214</v>
      </c>
      <c r="E250" s="41">
        <v>55.836259149279755</v>
      </c>
      <c r="F250" s="44">
        <f t="shared" si="3"/>
        <v>16.712656744186035</v>
      </c>
      <c r="G250" s="7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</row>
    <row r="251" spans="1:45" s="12" customFormat="1">
      <c r="A251" s="20">
        <v>251</v>
      </c>
      <c r="B251" s="42">
        <v>0.2</v>
      </c>
      <c r="C251" s="43">
        <v>0.39600000000000002</v>
      </c>
      <c r="D251" s="41">
        <v>16.636592285811584</v>
      </c>
      <c r="E251" s="41">
        <v>59.311447220660071</v>
      </c>
      <c r="F251" s="44">
        <f t="shared" si="3"/>
        <v>24.051960493528341</v>
      </c>
      <c r="G251" s="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</row>
    <row r="252" spans="1:45" s="12" customFormat="1">
      <c r="A252" s="20">
        <v>252</v>
      </c>
      <c r="B252" s="42">
        <v>0.1</v>
      </c>
      <c r="C252" s="43">
        <v>0.29199999999999998</v>
      </c>
      <c r="D252" s="41">
        <v>15.598963812380203</v>
      </c>
      <c r="E252" s="41">
        <v>38.920317708198574</v>
      </c>
      <c r="F252" s="44">
        <f t="shared" si="3"/>
        <v>45.48071847942122</v>
      </c>
      <c r="G252" s="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</row>
    <row r="253" spans="1:45" s="12" customFormat="1">
      <c r="A253" s="20">
        <v>253</v>
      </c>
      <c r="B253" s="42">
        <v>2.2000000000000002</v>
      </c>
      <c r="C253" s="43">
        <v>0.45100000000000001</v>
      </c>
      <c r="D253" s="41">
        <v>14.423428562089862</v>
      </c>
      <c r="E253" s="41">
        <v>54.100733272766924</v>
      </c>
      <c r="F253" s="44">
        <f t="shared" si="3"/>
        <v>31.475838165143209</v>
      </c>
      <c r="G253" s="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</row>
    <row r="254" spans="1:45" s="12" customFormat="1">
      <c r="A254" s="20">
        <v>254</v>
      </c>
      <c r="B254" s="42">
        <v>0.8</v>
      </c>
      <c r="C254" s="43">
        <v>0.42399999999999999</v>
      </c>
      <c r="D254" s="41">
        <v>16.688851789866664</v>
      </c>
      <c r="E254" s="41">
        <v>60.61578306844018</v>
      </c>
      <c r="F254" s="44">
        <f t="shared" si="3"/>
        <v>22.695365141693159</v>
      </c>
      <c r="G254" s="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</row>
    <row r="255" spans="1:45" s="12" customFormat="1">
      <c r="A255" s="20">
        <v>255</v>
      </c>
      <c r="B255" s="42">
        <v>0.5</v>
      </c>
      <c r="C255" s="43">
        <v>0.45300000000000001</v>
      </c>
      <c r="D255" s="41">
        <v>22.55085804241731</v>
      </c>
      <c r="E255" s="41">
        <v>55.697322881959757</v>
      </c>
      <c r="F255" s="44">
        <f t="shared" si="3"/>
        <v>21.75181907562294</v>
      </c>
      <c r="G255" s="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</row>
    <row r="256" spans="1:45" s="12" customFormat="1">
      <c r="A256" s="20">
        <v>256</v>
      </c>
      <c r="B256" s="42">
        <v>0.1</v>
      </c>
      <c r="C256" s="43">
        <v>0.40600000000000003</v>
      </c>
      <c r="D256" s="41">
        <v>15.453669976695725</v>
      </c>
      <c r="E256" s="41">
        <v>48.434793835135522</v>
      </c>
      <c r="F256" s="44">
        <f t="shared" si="3"/>
        <v>36.111536188168756</v>
      </c>
      <c r="G256" s="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</row>
    <row r="257" spans="1:45" s="10" customFormat="1">
      <c r="A257" s="20">
        <v>257</v>
      </c>
      <c r="B257" s="42">
        <v>0.1</v>
      </c>
      <c r="C257" s="43">
        <v>0.312</v>
      </c>
      <c r="D257" s="41">
        <v>9.5293672799092821</v>
      </c>
      <c r="E257" s="41">
        <v>32.02256977767702</v>
      </c>
      <c r="F257" s="44">
        <f t="shared" si="3"/>
        <v>58.448062942413699</v>
      </c>
      <c r="G257" s="7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</row>
    <row r="258" spans="1:45" s="12" customFormat="1">
      <c r="A258" s="20">
        <v>258</v>
      </c>
      <c r="B258" s="42">
        <v>1.8</v>
      </c>
      <c r="C258" s="43">
        <v>0.41299999999999998</v>
      </c>
      <c r="D258" s="41">
        <v>18.592974218353547</v>
      </c>
      <c r="E258" s="41">
        <v>40.903542517961469</v>
      </c>
      <c r="F258" s="44">
        <f t="shared" si="3"/>
        <v>40.503483263684984</v>
      </c>
      <c r="G258" s="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</row>
    <row r="259" spans="1:45" s="12" customFormat="1">
      <c r="A259" s="20">
        <v>259</v>
      </c>
      <c r="B259" s="42">
        <v>0.3</v>
      </c>
      <c r="C259" s="43">
        <v>0.41399999999999998</v>
      </c>
      <c r="D259" s="41">
        <v>22.641823574233914</v>
      </c>
      <c r="E259" s="41">
        <v>50.619265059547018</v>
      </c>
      <c r="F259" s="44">
        <f t="shared" si="3"/>
        <v>26.738911366219071</v>
      </c>
      <c r="G259" s="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</row>
    <row r="260" spans="1:45" s="12" customFormat="1">
      <c r="A260" s="20">
        <v>260</v>
      </c>
      <c r="B260" s="42">
        <v>0.5</v>
      </c>
      <c r="C260" s="43">
        <v>0.41</v>
      </c>
      <c r="D260" s="41">
        <v>26.454479516631789</v>
      </c>
      <c r="E260" s="41">
        <v>42.491793621244668</v>
      </c>
      <c r="F260" s="44">
        <f t="shared" si="3"/>
        <v>31.05372686212354</v>
      </c>
      <c r="G260" s="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</row>
    <row r="261" spans="1:45" s="12" customFormat="1">
      <c r="A261" s="20">
        <v>261</v>
      </c>
      <c r="B261" s="42">
        <v>0.1</v>
      </c>
      <c r="C261" s="43">
        <v>0.36899999999999999</v>
      </c>
      <c r="D261" s="41">
        <v>18.10219684471376</v>
      </c>
      <c r="E261" s="41">
        <v>47.790162077069013</v>
      </c>
      <c r="F261" s="44">
        <f t="shared" ref="F261:F324" si="4">100-D261-E261</f>
        <v>34.107641078217227</v>
      </c>
      <c r="G261" s="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</row>
    <row r="262" spans="1:45" s="12" customFormat="1">
      <c r="A262" s="20">
        <v>262</v>
      </c>
      <c r="B262" s="42">
        <v>0.1</v>
      </c>
      <c r="C262" s="43">
        <v>0.373</v>
      </c>
      <c r="D262" s="41">
        <v>17.286055271837213</v>
      </c>
      <c r="E262" s="41">
        <v>52.901384990508546</v>
      </c>
      <c r="F262" s="44">
        <f t="shared" si="4"/>
        <v>29.81255973765424</v>
      </c>
      <c r="G262" s="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</row>
    <row r="263" spans="1:45" s="10" customFormat="1">
      <c r="A263" s="20">
        <v>263</v>
      </c>
      <c r="B263" s="42">
        <v>0</v>
      </c>
      <c r="C263" s="43">
        <v>0.29399999999999998</v>
      </c>
      <c r="D263" s="41">
        <v>3.402532501978687</v>
      </c>
      <c r="E263" s="41">
        <v>22.263443370481021</v>
      </c>
      <c r="F263" s="44">
        <f t="shared" si="4"/>
        <v>74.334024127540289</v>
      </c>
      <c r="G263" s="7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</row>
    <row r="264" spans="1:45" s="10" customFormat="1">
      <c r="A264" s="20">
        <v>264</v>
      </c>
      <c r="B264" s="42">
        <v>2.4</v>
      </c>
      <c r="C264" s="43">
        <v>0.51700000000000002</v>
      </c>
      <c r="D264" s="41">
        <v>0.20649591703235151</v>
      </c>
      <c r="E264" s="41">
        <v>17.180195415453877</v>
      </c>
      <c r="F264" s="44">
        <f t="shared" si="4"/>
        <v>82.613308667513763</v>
      </c>
      <c r="G264" s="7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</row>
    <row r="265" spans="1:45" s="10" customFormat="1">
      <c r="A265" s="20">
        <v>265</v>
      </c>
      <c r="B265" s="42">
        <v>0.7</v>
      </c>
      <c r="C265" s="43">
        <v>0.47699999999999998</v>
      </c>
      <c r="D265" s="41">
        <v>0.26795697960626413</v>
      </c>
      <c r="E265" s="41">
        <v>18.564637232584108</v>
      </c>
      <c r="F265" s="44">
        <f t="shared" si="4"/>
        <v>81.167405787809628</v>
      </c>
      <c r="G265" s="7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</row>
    <row r="266" spans="1:45" s="10" customFormat="1">
      <c r="A266" s="20">
        <v>266</v>
      </c>
      <c r="B266" s="42">
        <v>0.1</v>
      </c>
      <c r="C266" s="43">
        <v>0.38200000000000001</v>
      </c>
      <c r="D266" s="41">
        <v>0.11804123852771334</v>
      </c>
      <c r="E266" s="41">
        <v>18.599853229845632</v>
      </c>
      <c r="F266" s="44">
        <f t="shared" si="4"/>
        <v>81.282105531626655</v>
      </c>
      <c r="G266" s="7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</row>
    <row r="267" spans="1:45" s="10" customFormat="1">
      <c r="A267" s="20">
        <v>267</v>
      </c>
      <c r="B267" s="42">
        <v>0.2</v>
      </c>
      <c r="C267" s="43">
        <v>0.36199999999999999</v>
      </c>
      <c r="D267" s="41">
        <v>0.95620863032578141</v>
      </c>
      <c r="E267" s="41">
        <v>27.05974417439932</v>
      </c>
      <c r="F267" s="44">
        <f t="shared" si="4"/>
        <v>71.984047195274911</v>
      </c>
      <c r="G267" s="7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</row>
    <row r="268" spans="1:45" s="10" customFormat="1">
      <c r="A268" s="20">
        <v>268</v>
      </c>
      <c r="B268" s="42">
        <v>0.1</v>
      </c>
      <c r="C268" s="43">
        <v>0.38700000000000001</v>
      </c>
      <c r="D268" s="41">
        <v>1.1263883480426744E-2</v>
      </c>
      <c r="E268" s="41">
        <v>19.095198910355993</v>
      </c>
      <c r="F268" s="44">
        <f t="shared" si="4"/>
        <v>80.893537206163586</v>
      </c>
      <c r="G268" s="7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</row>
    <row r="269" spans="1:45" s="10" customFormat="1">
      <c r="A269" s="20">
        <v>269</v>
      </c>
      <c r="B269" s="42">
        <v>2.1</v>
      </c>
      <c r="C269" s="43">
        <v>0.53900000000000003</v>
      </c>
      <c r="D269" s="41">
        <v>1.6259067034195533</v>
      </c>
      <c r="E269" s="41">
        <v>24.188998118424163</v>
      </c>
      <c r="F269" s="44">
        <f t="shared" si="4"/>
        <v>74.185095178156274</v>
      </c>
      <c r="G269" s="7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</row>
    <row r="270" spans="1:45" s="10" customFormat="1">
      <c r="A270" s="20">
        <v>270</v>
      </c>
      <c r="B270" s="42">
        <v>0.8</v>
      </c>
      <c r="C270" s="43">
        <v>0.50900000000000001</v>
      </c>
      <c r="D270" s="41">
        <v>2.8629882531058986</v>
      </c>
      <c r="E270" s="41">
        <v>26.405286503572484</v>
      </c>
      <c r="F270" s="44">
        <f t="shared" si="4"/>
        <v>70.73172524332162</v>
      </c>
      <c r="G270" s="7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</row>
    <row r="271" spans="1:45" s="10" customFormat="1">
      <c r="A271" s="20">
        <v>271</v>
      </c>
      <c r="B271" s="42">
        <v>0.2</v>
      </c>
      <c r="C271" s="43">
        <v>0.41099999999999998</v>
      </c>
      <c r="D271" s="41">
        <v>4.5654334414783042</v>
      </c>
      <c r="E271" s="41">
        <v>31.471975253110948</v>
      </c>
      <c r="F271" s="44">
        <f t="shared" si="4"/>
        <v>63.962591305410747</v>
      </c>
      <c r="G271" s="7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</row>
    <row r="272" spans="1:45" s="10" customFormat="1">
      <c r="A272" s="20">
        <v>272</v>
      </c>
      <c r="B272" s="42">
        <v>0.1</v>
      </c>
      <c r="C272" s="43">
        <v>0.38800000000000001</v>
      </c>
      <c r="D272" s="41">
        <v>2.4826781435106944</v>
      </c>
      <c r="E272" s="41">
        <v>25.030654695936061</v>
      </c>
      <c r="F272" s="44">
        <f t="shared" si="4"/>
        <v>72.486667160553239</v>
      </c>
      <c r="G272" s="7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</row>
    <row r="273" spans="1:45" s="10" customFormat="1">
      <c r="A273" s="20">
        <v>273</v>
      </c>
      <c r="B273" s="42">
        <v>0</v>
      </c>
      <c r="C273" s="43">
        <v>0.39100000000000001</v>
      </c>
      <c r="D273" s="41">
        <v>0.39954804679448558</v>
      </c>
      <c r="E273" s="41">
        <v>12.304403605757553</v>
      </c>
      <c r="F273" s="44">
        <f t="shared" si="4"/>
        <v>87.296048347447964</v>
      </c>
      <c r="G273" s="7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</row>
    <row r="274" spans="1:45" s="10" customFormat="1">
      <c r="A274" s="20">
        <v>274</v>
      </c>
      <c r="B274" s="42">
        <v>0.1</v>
      </c>
      <c r="C274" s="43">
        <v>0.378</v>
      </c>
      <c r="D274" s="41">
        <v>1.2503799212225541</v>
      </c>
      <c r="E274" s="41">
        <v>17.708943628782709</v>
      </c>
      <c r="F274" s="44">
        <f t="shared" si="4"/>
        <v>81.040676449994734</v>
      </c>
      <c r="G274" s="7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</row>
    <row r="275" spans="1:45" s="10" customFormat="1">
      <c r="A275" s="20">
        <v>275</v>
      </c>
      <c r="B275" s="42">
        <v>2</v>
      </c>
      <c r="C275" s="43">
        <v>0.375</v>
      </c>
      <c r="D275" s="41">
        <v>4.4845124641005985</v>
      </c>
      <c r="E275" s="41">
        <v>20.284213864487143</v>
      </c>
      <c r="F275" s="44">
        <f t="shared" si="4"/>
        <v>75.231273671412254</v>
      </c>
      <c r="G275" s="7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</row>
    <row r="276" spans="1:45" s="10" customFormat="1">
      <c r="A276" s="20">
        <v>276</v>
      </c>
      <c r="B276" s="42">
        <v>0.6</v>
      </c>
      <c r="C276" s="43">
        <v>0.32100000000000001</v>
      </c>
      <c r="D276" s="41">
        <v>6.1928064626411485</v>
      </c>
      <c r="E276" s="41">
        <v>22.553083930046629</v>
      </c>
      <c r="F276" s="44">
        <f t="shared" si="4"/>
        <v>71.25410960731223</v>
      </c>
      <c r="G276" s="7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</row>
    <row r="277" spans="1:45" s="13" customFormat="1">
      <c r="A277" s="21" t="s">
        <v>3</v>
      </c>
      <c r="B277" s="42">
        <v>0.5</v>
      </c>
      <c r="C277" s="43">
        <v>0.24199999999999999</v>
      </c>
      <c r="D277" s="41">
        <v>9.1399658612638373</v>
      </c>
      <c r="E277" s="41">
        <v>25.275353693740492</v>
      </c>
      <c r="F277" s="44">
        <f t="shared" si="4"/>
        <v>65.584680444995684</v>
      </c>
      <c r="G277" s="35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</row>
    <row r="278" spans="1:45" s="10" customFormat="1">
      <c r="A278" s="20">
        <v>278</v>
      </c>
      <c r="B278" s="42">
        <v>0.4</v>
      </c>
      <c r="C278" s="43">
        <v>0.39500000000000002</v>
      </c>
      <c r="D278" s="41">
        <v>13.03737465383335</v>
      </c>
      <c r="E278" s="41">
        <v>26.532280655094642</v>
      </c>
      <c r="F278" s="44">
        <f t="shared" si="4"/>
        <v>60.430344691072008</v>
      </c>
      <c r="G278" s="7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</row>
    <row r="279" spans="1:45" s="10" customFormat="1">
      <c r="A279" s="20">
        <v>279</v>
      </c>
      <c r="B279" s="42">
        <v>0.3</v>
      </c>
      <c r="C279" s="43">
        <v>0.377</v>
      </c>
      <c r="D279" s="41">
        <v>4.4515157154315013</v>
      </c>
      <c r="E279" s="41">
        <v>20.453075911248558</v>
      </c>
      <c r="F279" s="44">
        <f t="shared" si="4"/>
        <v>75.095408373319941</v>
      </c>
      <c r="G279" s="7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</row>
    <row r="280" spans="1:45" s="10" customFormat="1">
      <c r="A280" s="20">
        <v>280</v>
      </c>
      <c r="B280" s="42">
        <v>0.1</v>
      </c>
      <c r="C280" s="43">
        <v>0.38600000000000001</v>
      </c>
      <c r="D280" s="41">
        <v>0.16141214084072258</v>
      </c>
      <c r="E280" s="41">
        <v>7.0392278047290793</v>
      </c>
      <c r="F280" s="44">
        <f t="shared" si="4"/>
        <v>92.799360054430196</v>
      </c>
      <c r="G280" s="7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</row>
    <row r="281" spans="1:45" s="10" customFormat="1">
      <c r="A281" s="20">
        <v>281</v>
      </c>
      <c r="B281" s="42">
        <v>3.7</v>
      </c>
      <c r="C281" s="43">
        <v>0.46300000000000002</v>
      </c>
      <c r="D281" s="41">
        <v>0.31920945139420104</v>
      </c>
      <c r="E281" s="41">
        <v>10.50840898647867</v>
      </c>
      <c r="F281" s="44">
        <f t="shared" si="4"/>
        <v>89.172381562127129</v>
      </c>
      <c r="G281" s="7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</row>
    <row r="282" spans="1:45" s="10" customFormat="1">
      <c r="A282" s="20">
        <v>282</v>
      </c>
      <c r="B282" s="42">
        <v>0.5</v>
      </c>
      <c r="C282" s="43">
        <v>0.41399999999999998</v>
      </c>
      <c r="D282" s="41">
        <v>0.16136516024402248</v>
      </c>
      <c r="E282" s="41">
        <v>8.9690450479301784</v>
      </c>
      <c r="F282" s="44">
        <f t="shared" si="4"/>
        <v>90.869589791825803</v>
      </c>
      <c r="G282" s="7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</row>
    <row r="283" spans="1:45" s="10" customFormat="1">
      <c r="A283" s="20">
        <v>283</v>
      </c>
      <c r="B283" s="42">
        <v>0.2</v>
      </c>
      <c r="C283" s="43">
        <v>0.42299999999999999</v>
      </c>
      <c r="D283" s="41">
        <v>0.27757922612757485</v>
      </c>
      <c r="E283" s="41">
        <v>11.66432776543067</v>
      </c>
      <c r="F283" s="44">
        <f t="shared" si="4"/>
        <v>88.058093008441759</v>
      </c>
      <c r="G283" s="7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</row>
    <row r="284" spans="1:45" s="10" customFormat="1">
      <c r="A284" s="20">
        <v>284</v>
      </c>
      <c r="B284" s="42">
        <v>0.2</v>
      </c>
      <c r="C284" s="43">
        <v>0.41899999999999998</v>
      </c>
      <c r="D284" s="41">
        <v>0.30733719016388661</v>
      </c>
      <c r="E284" s="41">
        <v>12.129784203393765</v>
      </c>
      <c r="F284" s="44">
        <f t="shared" si="4"/>
        <v>87.562878606442339</v>
      </c>
      <c r="G284" s="7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</row>
    <row r="285" spans="1:45" s="10" customFormat="1">
      <c r="A285" s="20">
        <v>285</v>
      </c>
      <c r="B285" s="42">
        <v>0.1</v>
      </c>
      <c r="C285" s="43">
        <v>0.379</v>
      </c>
      <c r="D285" s="41">
        <v>8.8199070245519751E-3</v>
      </c>
      <c r="E285" s="41">
        <v>3.6520188297775582</v>
      </c>
      <c r="F285" s="44">
        <f t="shared" si="4"/>
        <v>96.339161263197894</v>
      </c>
      <c r="G285" s="7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</row>
    <row r="286" spans="1:45" s="10" customFormat="1">
      <c r="A286" s="20">
        <v>286</v>
      </c>
      <c r="B286" s="42">
        <v>4.2</v>
      </c>
      <c r="C286" s="43">
        <v>0.46100000000000002</v>
      </c>
      <c r="D286" s="41">
        <v>0.43013985553416917</v>
      </c>
      <c r="E286" s="41">
        <v>10.813323526533567</v>
      </c>
      <c r="F286" s="44">
        <f t="shared" si="4"/>
        <v>88.756536617932269</v>
      </c>
      <c r="G286" s="7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</row>
    <row r="287" spans="1:45" s="10" customFormat="1">
      <c r="A287" s="20">
        <v>287</v>
      </c>
      <c r="B287" s="42">
        <v>0.3</v>
      </c>
      <c r="C287" s="43">
        <v>0.41</v>
      </c>
      <c r="D287" s="41">
        <v>0.18225524404622576</v>
      </c>
      <c r="E287" s="41">
        <v>8.9145373711905638</v>
      </c>
      <c r="F287" s="44">
        <f t="shared" si="4"/>
        <v>90.903207384763206</v>
      </c>
      <c r="G287" s="7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</row>
    <row r="288" spans="1:45" s="10" customFormat="1">
      <c r="A288" s="20">
        <v>288</v>
      </c>
      <c r="B288" s="42">
        <v>0.2</v>
      </c>
      <c r="C288" s="43">
        <v>0.41</v>
      </c>
      <c r="D288" s="41">
        <v>0.25969428949813378</v>
      </c>
      <c r="E288" s="41">
        <v>12.003202836924217</v>
      </c>
      <c r="F288" s="44">
        <f t="shared" si="4"/>
        <v>87.737102873577655</v>
      </c>
      <c r="G288" s="7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</row>
    <row r="289" spans="1:45" s="10" customFormat="1">
      <c r="A289" s="20">
        <v>289</v>
      </c>
      <c r="B289" s="42">
        <v>0.2</v>
      </c>
      <c r="C289" s="43">
        <v>0.38100000000000001</v>
      </c>
      <c r="D289" s="41">
        <v>0.37806258929413461</v>
      </c>
      <c r="E289" s="41">
        <v>11.302224932178753</v>
      </c>
      <c r="F289" s="44">
        <f t="shared" si="4"/>
        <v>88.319712478527123</v>
      </c>
      <c r="G289" s="7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</row>
    <row r="290" spans="1:45" s="10" customFormat="1">
      <c r="A290" s="20">
        <v>290</v>
      </c>
      <c r="B290" s="42">
        <v>0.1</v>
      </c>
      <c r="C290" s="43">
        <v>0.36899999999999999</v>
      </c>
      <c r="D290" s="41">
        <v>0.70400655559749958</v>
      </c>
      <c r="E290" s="41">
        <v>15.988436455611042</v>
      </c>
      <c r="F290" s="44">
        <f t="shared" si="4"/>
        <v>83.307556988791461</v>
      </c>
      <c r="G290" s="7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</row>
    <row r="291" spans="1:45" s="12" customFormat="1">
      <c r="A291" s="23">
        <v>291</v>
      </c>
      <c r="B291" s="42">
        <v>3</v>
      </c>
      <c r="C291" s="43">
        <v>0.52100000000000002</v>
      </c>
      <c r="D291" s="41">
        <v>9.1849983716586738</v>
      </c>
      <c r="E291" s="41">
        <v>46.689553308500351</v>
      </c>
      <c r="F291" s="44">
        <f t="shared" si="4"/>
        <v>44.12544831984097</v>
      </c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</row>
    <row r="292" spans="1:45" s="13" customFormat="1">
      <c r="A292" s="21" t="s">
        <v>4</v>
      </c>
      <c r="B292" s="42">
        <v>1.3</v>
      </c>
      <c r="C292" s="43">
        <v>0.41899999999999998</v>
      </c>
      <c r="D292" s="41">
        <v>10.28062786363903</v>
      </c>
      <c r="E292" s="41">
        <v>41.23130734877985</v>
      </c>
      <c r="F292" s="44">
        <f t="shared" si="4"/>
        <v>48.488064787581123</v>
      </c>
      <c r="G292" s="35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</row>
    <row r="293" spans="1:45" s="12" customFormat="1">
      <c r="A293" s="23">
        <v>293</v>
      </c>
      <c r="B293" s="42">
        <v>1.2</v>
      </c>
      <c r="C293" s="43">
        <v>0.41099999999999998</v>
      </c>
      <c r="D293" s="41">
        <v>12.710885828413307</v>
      </c>
      <c r="E293" s="41">
        <v>40.233705085684974</v>
      </c>
      <c r="F293" s="44">
        <f t="shared" si="4"/>
        <v>47.055409085901715</v>
      </c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</row>
    <row r="294" spans="1:45" s="12" customFormat="1">
      <c r="A294" s="23">
        <v>294</v>
      </c>
      <c r="B294" s="42">
        <v>1.5</v>
      </c>
      <c r="C294" s="43">
        <v>0.41499999999999998</v>
      </c>
      <c r="D294" s="41">
        <v>16.713004743066708</v>
      </c>
      <c r="E294" s="41">
        <v>39.471401594949498</v>
      </c>
      <c r="F294" s="44">
        <f t="shared" si="4"/>
        <v>43.815593661983797</v>
      </c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</row>
    <row r="295" spans="1:45" s="12" customFormat="1">
      <c r="A295" s="23">
        <v>297</v>
      </c>
      <c r="B295" s="42">
        <v>3.5</v>
      </c>
      <c r="C295" s="43">
        <v>0.51300000000000001</v>
      </c>
      <c r="D295" s="41">
        <v>33.568257336504828</v>
      </c>
      <c r="E295" s="41">
        <v>51.842957460780028</v>
      </c>
      <c r="F295" s="44">
        <f t="shared" si="4"/>
        <v>14.588785202715144</v>
      </c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</row>
    <row r="296" spans="1:45" s="12" customFormat="1">
      <c r="A296" s="23">
        <v>298</v>
      </c>
      <c r="B296" s="42">
        <v>3.4</v>
      </c>
      <c r="C296" s="43">
        <v>0.52800000000000002</v>
      </c>
      <c r="D296" s="41">
        <v>29.969778886400888</v>
      </c>
      <c r="E296" s="41">
        <v>44.984553736028971</v>
      </c>
      <c r="F296" s="44">
        <f t="shared" si="4"/>
        <v>25.04566737757014</v>
      </c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</row>
    <row r="297" spans="1:45" s="12" customFormat="1">
      <c r="A297" s="23">
        <v>299</v>
      </c>
      <c r="B297" s="42">
        <v>1.9</v>
      </c>
      <c r="C297" s="43">
        <v>0.46400000000000002</v>
      </c>
      <c r="D297" s="41">
        <v>25.262614716581872</v>
      </c>
      <c r="E297" s="41">
        <v>41.125662870039314</v>
      </c>
      <c r="F297" s="44">
        <f t="shared" si="4"/>
        <v>33.611722413378807</v>
      </c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</row>
    <row r="298" spans="1:45" s="12" customFormat="1">
      <c r="A298" s="23">
        <v>300</v>
      </c>
      <c r="B298" s="42">
        <v>0.4</v>
      </c>
      <c r="C298" s="43">
        <v>0.41099999999999998</v>
      </c>
      <c r="D298" s="41">
        <v>17.101857015306038</v>
      </c>
      <c r="E298" s="41">
        <v>40.175697340468602</v>
      </c>
      <c r="F298" s="44">
        <f t="shared" si="4"/>
        <v>42.72244564422536</v>
      </c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</row>
    <row r="299" spans="1:45" s="12" customFormat="1">
      <c r="A299" s="23">
        <v>301</v>
      </c>
      <c r="B299" s="42">
        <v>0.4</v>
      </c>
      <c r="C299" s="43">
        <v>0.44500000000000001</v>
      </c>
      <c r="D299" s="41">
        <v>3.7539256384443102E-2</v>
      </c>
      <c r="E299" s="41">
        <v>8.8454284492451247</v>
      </c>
      <c r="F299" s="44">
        <f t="shared" si="4"/>
        <v>91.117032294370432</v>
      </c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</row>
    <row r="300" spans="1:45" s="12" customFormat="1">
      <c r="A300" s="23">
        <v>302</v>
      </c>
      <c r="B300" s="42">
        <v>0.2</v>
      </c>
      <c r="C300" s="43">
        <v>0.46400000000000002</v>
      </c>
      <c r="D300" s="41">
        <v>7.9907091437048425E-2</v>
      </c>
      <c r="E300" s="41">
        <v>10.787347084491936</v>
      </c>
      <c r="F300" s="44">
        <f t="shared" si="4"/>
        <v>89.132745824071009</v>
      </c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</row>
    <row r="301" spans="1:45" s="12" customFormat="1">
      <c r="A301" s="23">
        <v>303</v>
      </c>
      <c r="B301" s="42">
        <v>0.1</v>
      </c>
      <c r="C301" s="43">
        <v>0.43</v>
      </c>
      <c r="D301" s="41">
        <v>5.2932265872029538E-2</v>
      </c>
      <c r="E301" s="41">
        <v>9.7215874839162613</v>
      </c>
      <c r="F301" s="44">
        <f t="shared" si="4"/>
        <v>90.225480250211703</v>
      </c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</row>
    <row r="302" spans="1:45" s="12" customFormat="1">
      <c r="A302" s="23">
        <v>304</v>
      </c>
      <c r="B302" s="42">
        <v>0</v>
      </c>
      <c r="C302" s="43">
        <v>0.40799999999999997</v>
      </c>
      <c r="D302" s="41">
        <v>1.6493335056972339E-3</v>
      </c>
      <c r="E302" s="41">
        <v>4.1192061745491184</v>
      </c>
      <c r="F302" s="44">
        <f t="shared" si="4"/>
        <v>95.879144491945183</v>
      </c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</row>
    <row r="303" spans="1:45" s="12" customFormat="1">
      <c r="A303" s="23">
        <v>305</v>
      </c>
      <c r="B303" s="42">
        <v>0</v>
      </c>
      <c r="C303" s="43">
        <v>0.41899999999999998</v>
      </c>
      <c r="D303" s="41">
        <v>2.883994555888115E-3</v>
      </c>
      <c r="E303" s="41">
        <v>4.6777615711414207</v>
      </c>
      <c r="F303" s="44">
        <f t="shared" si="4"/>
        <v>95.319354434302696</v>
      </c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</row>
    <row r="304" spans="1:45" s="12" customFormat="1">
      <c r="A304" s="23">
        <v>306</v>
      </c>
      <c r="B304" s="42">
        <v>0.7</v>
      </c>
      <c r="C304" s="43">
        <v>0.49099999999999999</v>
      </c>
      <c r="D304" s="41">
        <v>0.17690154959680873</v>
      </c>
      <c r="E304" s="41">
        <v>12.751195487283329</v>
      </c>
      <c r="F304" s="44">
        <f t="shared" si="4"/>
        <v>87.071902963119868</v>
      </c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</row>
    <row r="305" spans="1:45" s="12" customFormat="1">
      <c r="A305" s="23">
        <v>307</v>
      </c>
      <c r="B305" s="42">
        <v>0.2</v>
      </c>
      <c r="C305" s="43">
        <v>0.442</v>
      </c>
      <c r="D305" s="41">
        <v>0.14875296411023312</v>
      </c>
      <c r="E305" s="41">
        <v>12.098186749320824</v>
      </c>
      <c r="F305" s="44">
        <f t="shared" si="4"/>
        <v>87.753060286568939</v>
      </c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</row>
    <row r="306" spans="1:45" s="12" customFormat="1">
      <c r="A306" s="23">
        <v>308</v>
      </c>
      <c r="B306" s="42">
        <v>0.1</v>
      </c>
      <c r="C306" s="43">
        <v>0.438</v>
      </c>
      <c r="D306" s="41">
        <v>3.8210134210889382E-2</v>
      </c>
      <c r="E306" s="41">
        <v>8.718141870456618</v>
      </c>
      <c r="F306" s="44">
        <f t="shared" si="4"/>
        <v>91.243647995332495</v>
      </c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</row>
    <row r="307" spans="1:45" s="12" customFormat="1">
      <c r="A307" s="23">
        <v>309</v>
      </c>
      <c r="B307" s="42">
        <v>0</v>
      </c>
      <c r="C307" s="43">
        <v>0.42299999999999999</v>
      </c>
      <c r="D307" s="41">
        <v>3.3455395724855787E-3</v>
      </c>
      <c r="E307" s="41">
        <v>4.9896735502521432</v>
      </c>
      <c r="F307" s="44">
        <f t="shared" si="4"/>
        <v>95.006980910175372</v>
      </c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</row>
    <row r="308" spans="1:45" s="12" customFormat="1">
      <c r="A308" s="23">
        <v>311</v>
      </c>
      <c r="B308" s="42">
        <v>1.3</v>
      </c>
      <c r="C308" s="43">
        <v>0.45300000000000001</v>
      </c>
      <c r="D308" s="41">
        <v>0.10193387776013395</v>
      </c>
      <c r="E308" s="41">
        <v>15.35720203773942</v>
      </c>
      <c r="F308" s="44">
        <f t="shared" si="4"/>
        <v>84.540864084500441</v>
      </c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</row>
    <row r="309" spans="1:45" s="12" customFormat="1">
      <c r="A309" s="23">
        <v>312</v>
      </c>
      <c r="B309" s="42">
        <v>1.4</v>
      </c>
      <c r="C309" s="43">
        <v>0.43</v>
      </c>
      <c r="D309" s="41">
        <v>0.13097955849505524</v>
      </c>
      <c r="E309" s="41">
        <v>19.700576391795376</v>
      </c>
      <c r="F309" s="44">
        <f t="shared" si="4"/>
        <v>80.168444049709564</v>
      </c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</row>
    <row r="310" spans="1:45" s="12" customFormat="1">
      <c r="A310" s="23">
        <v>313</v>
      </c>
      <c r="B310" s="42">
        <v>1.6</v>
      </c>
      <c r="C310" s="43">
        <v>0.47299999999999998</v>
      </c>
      <c r="D310" s="41">
        <v>17.259634031124769</v>
      </c>
      <c r="E310" s="41">
        <v>37.566722712092329</v>
      </c>
      <c r="F310" s="44">
        <f t="shared" si="4"/>
        <v>45.17364325678291</v>
      </c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</row>
    <row r="311" spans="1:45" s="12" customFormat="1">
      <c r="A311" s="23">
        <v>314</v>
      </c>
      <c r="B311" s="42">
        <v>0.7</v>
      </c>
      <c r="C311" s="43">
        <v>0.40400000000000003</v>
      </c>
      <c r="D311" s="41">
        <v>29.557861552920961</v>
      </c>
      <c r="E311" s="41">
        <v>35.546805863208412</v>
      </c>
      <c r="F311" s="44">
        <f t="shared" si="4"/>
        <v>34.895332583870619</v>
      </c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</row>
    <row r="312" spans="1:45" s="13" customFormat="1">
      <c r="A312" s="21" t="s">
        <v>5</v>
      </c>
      <c r="B312" s="42">
        <v>0</v>
      </c>
      <c r="C312" s="43">
        <v>0.32700000000000001</v>
      </c>
      <c r="D312" s="41">
        <v>10.456250834444379</v>
      </c>
      <c r="E312" s="41">
        <v>38.633826710524104</v>
      </c>
      <c r="F312" s="44">
        <f t="shared" si="4"/>
        <v>50.90992245503152</v>
      </c>
      <c r="G312" s="35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</row>
    <row r="313" spans="1:45" s="13" customFormat="1">
      <c r="A313" s="24" t="s">
        <v>6</v>
      </c>
      <c r="B313" s="42">
        <v>0</v>
      </c>
      <c r="C313" s="52">
        <v>0.38800000000000001</v>
      </c>
      <c r="D313" s="41">
        <v>0.10388168457870857</v>
      </c>
      <c r="E313" s="41">
        <v>19.212956001735101</v>
      </c>
      <c r="F313" s="44">
        <f t="shared" si="4"/>
        <v>80.683162313686182</v>
      </c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</row>
    <row r="314" spans="1:45" s="13" customFormat="1">
      <c r="A314" s="24" t="s">
        <v>7</v>
      </c>
      <c r="B314" s="42">
        <v>1.3</v>
      </c>
      <c r="C314" s="52">
        <v>0.442</v>
      </c>
      <c r="D314" s="41">
        <v>0.26446849752351803</v>
      </c>
      <c r="E314" s="41">
        <v>21.762272523455007</v>
      </c>
      <c r="F314" s="44">
        <f t="shared" si="4"/>
        <v>77.973258979021466</v>
      </c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</row>
    <row r="315" spans="1:45" s="12" customFormat="1">
      <c r="A315" s="23">
        <v>318</v>
      </c>
      <c r="B315" s="42">
        <v>1.9</v>
      </c>
      <c r="C315" s="43">
        <v>0.51200000000000001</v>
      </c>
      <c r="D315" s="41">
        <v>17.202944425502206</v>
      </c>
      <c r="E315" s="41">
        <v>37.446792577356334</v>
      </c>
      <c r="F315" s="44">
        <f t="shared" si="4"/>
        <v>45.350262997141456</v>
      </c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</row>
    <row r="316" spans="1:45" s="12" customFormat="1">
      <c r="A316" s="23">
        <v>319</v>
      </c>
      <c r="B316" s="42">
        <v>0.7</v>
      </c>
      <c r="C316" s="43">
        <v>0.42299999999999999</v>
      </c>
      <c r="D316" s="41">
        <v>27.764771697885188</v>
      </c>
      <c r="E316" s="41">
        <v>35.799582627738793</v>
      </c>
      <c r="F316" s="44">
        <f t="shared" si="4"/>
        <v>36.435645674376026</v>
      </c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</row>
    <row r="317" spans="1:45" s="13" customFormat="1">
      <c r="A317" s="21" t="s">
        <v>8</v>
      </c>
      <c r="B317" s="42">
        <v>0</v>
      </c>
      <c r="C317" s="43">
        <v>0.33100000000000002</v>
      </c>
      <c r="D317" s="41">
        <v>13.247673725047873</v>
      </c>
      <c r="E317" s="41">
        <v>38.728516177727961</v>
      </c>
      <c r="F317" s="44">
        <f t="shared" si="4"/>
        <v>48.023810097224164</v>
      </c>
      <c r="G317" s="35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</row>
    <row r="318" spans="1:45" s="13" customFormat="1">
      <c r="A318" s="24" t="s">
        <v>9</v>
      </c>
      <c r="B318" s="42">
        <v>0</v>
      </c>
      <c r="C318" s="52">
        <v>0.373</v>
      </c>
      <c r="D318" s="41">
        <v>0.32573930971928711</v>
      </c>
      <c r="E318" s="41">
        <v>10.136095734202016</v>
      </c>
      <c r="F318" s="44">
        <f t="shared" si="4"/>
        <v>89.538164956078703</v>
      </c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</row>
    <row r="319" spans="1:45" s="12" customFormat="1">
      <c r="A319" s="23">
        <v>324</v>
      </c>
      <c r="B319" s="42">
        <v>2.2999999999999998</v>
      </c>
      <c r="C319" s="43">
        <v>0.41899999999999998</v>
      </c>
      <c r="D319" s="41">
        <v>30.672816667058889</v>
      </c>
      <c r="E319" s="41">
        <v>41.660201048337463</v>
      </c>
      <c r="F319" s="44">
        <f t="shared" si="4"/>
        <v>27.666982284603641</v>
      </c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</row>
    <row r="320" spans="1:45" s="12" customFormat="1">
      <c r="A320" s="23">
        <v>325</v>
      </c>
      <c r="B320" s="42">
        <v>0.8</v>
      </c>
      <c r="C320" s="43">
        <v>0.378</v>
      </c>
      <c r="D320" s="41">
        <v>28.205646064170303</v>
      </c>
      <c r="E320" s="41">
        <v>40.83179035521939</v>
      </c>
      <c r="F320" s="44">
        <f t="shared" si="4"/>
        <v>30.962563580610301</v>
      </c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</row>
    <row r="321" spans="1:45" s="12" customFormat="1">
      <c r="A321" s="23">
        <v>327</v>
      </c>
      <c r="B321" s="42">
        <v>1.8</v>
      </c>
      <c r="C321" s="43">
        <v>0.47699999999999998</v>
      </c>
      <c r="D321" s="41">
        <v>28.899979596360296</v>
      </c>
      <c r="E321" s="41">
        <v>47.515500806458803</v>
      </c>
      <c r="F321" s="44">
        <f t="shared" si="4"/>
        <v>23.584519597180901</v>
      </c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</row>
    <row r="322" spans="1:45" s="12" customFormat="1">
      <c r="A322" s="23">
        <v>328</v>
      </c>
      <c r="B322" s="42">
        <v>1.8</v>
      </c>
      <c r="C322" s="43">
        <v>0.42299999999999999</v>
      </c>
      <c r="D322" s="41">
        <v>29.488255585910732</v>
      </c>
      <c r="E322" s="41">
        <v>47.253038025026726</v>
      </c>
      <c r="F322" s="44">
        <f t="shared" si="4"/>
        <v>23.258706389062539</v>
      </c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</row>
    <row r="323" spans="1:45" s="12" customFormat="1">
      <c r="A323" s="23">
        <v>329</v>
      </c>
      <c r="B323" s="42">
        <v>0.7</v>
      </c>
      <c r="C323" s="43">
        <v>0.40400000000000003</v>
      </c>
      <c r="D323" s="41">
        <v>27.995697787222461</v>
      </c>
      <c r="E323" s="41">
        <v>42.200034027159752</v>
      </c>
      <c r="F323" s="44">
        <f t="shared" si="4"/>
        <v>29.804268185617779</v>
      </c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</row>
    <row r="324" spans="1:45" s="12" customFormat="1">
      <c r="A324" s="23">
        <v>330</v>
      </c>
      <c r="B324" s="42">
        <v>0</v>
      </c>
      <c r="C324" s="43">
        <v>0.4</v>
      </c>
      <c r="D324" s="41">
        <v>8.2340058376398346</v>
      </c>
      <c r="E324" s="41">
        <v>38.605890005130661</v>
      </c>
      <c r="F324" s="44">
        <f t="shared" si="4"/>
        <v>53.160104157229497</v>
      </c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</row>
    <row r="325" spans="1:45" s="12" customFormat="1">
      <c r="A325" s="23">
        <v>331</v>
      </c>
      <c r="B325" s="42">
        <v>0</v>
      </c>
      <c r="C325" s="43">
        <v>0.42299999999999999</v>
      </c>
      <c r="D325" s="41">
        <v>0.10405495518247994</v>
      </c>
      <c r="E325" s="41">
        <v>19.425940616281942</v>
      </c>
      <c r="F325" s="44">
        <f t="shared" ref="F325:F388" si="5">100-D325-E325</f>
        <v>80.470004428535589</v>
      </c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</row>
    <row r="326" spans="1:45" s="12" customFormat="1">
      <c r="A326" s="23">
        <v>426</v>
      </c>
      <c r="B326" s="42">
        <v>3.3</v>
      </c>
      <c r="C326" s="43">
        <v>0.48699999999999999</v>
      </c>
      <c r="D326" s="41">
        <v>35.984904368852035</v>
      </c>
      <c r="E326" s="41">
        <v>43.939409268359107</v>
      </c>
      <c r="F326" s="44">
        <f t="shared" si="5"/>
        <v>20.075686362788865</v>
      </c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</row>
    <row r="327" spans="1:45" s="12" customFormat="1">
      <c r="A327" s="23">
        <v>427</v>
      </c>
      <c r="B327" s="42">
        <v>3.3</v>
      </c>
      <c r="C327" s="43">
        <v>0.50600000000000001</v>
      </c>
      <c r="D327" s="41">
        <v>36.931581761802882</v>
      </c>
      <c r="E327" s="41">
        <v>50.383227009985667</v>
      </c>
      <c r="F327" s="44">
        <f t="shared" si="5"/>
        <v>12.685191228211451</v>
      </c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</row>
    <row r="328" spans="1:45" s="12" customFormat="1">
      <c r="A328" s="23">
        <v>428</v>
      </c>
      <c r="B328" s="42">
        <v>0</v>
      </c>
      <c r="C328" s="43">
        <v>0.48699999999999999</v>
      </c>
      <c r="D328" s="41">
        <v>35.460425830220636</v>
      </c>
      <c r="E328" s="41">
        <v>52.902469785887483</v>
      </c>
      <c r="F328" s="44">
        <f t="shared" si="5"/>
        <v>11.637104383891888</v>
      </c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</row>
    <row r="329" spans="1:45" s="12" customFormat="1">
      <c r="A329" s="23">
        <v>429</v>
      </c>
      <c r="B329" s="42">
        <v>4.4000000000000004</v>
      </c>
      <c r="C329" s="43">
        <v>0.57699999999999996</v>
      </c>
      <c r="D329" s="41">
        <v>30.734451673728962</v>
      </c>
      <c r="E329" s="41">
        <v>56.88618527614593</v>
      </c>
      <c r="F329" s="44">
        <f t="shared" si="5"/>
        <v>12.379363050125114</v>
      </c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</row>
    <row r="330" spans="1:45" s="12" customFormat="1">
      <c r="A330" s="23">
        <v>430</v>
      </c>
      <c r="B330" s="42">
        <v>4.3</v>
      </c>
      <c r="C330" s="43">
        <v>0.53800000000000003</v>
      </c>
      <c r="D330" s="41">
        <v>32.285806065875747</v>
      </c>
      <c r="E330" s="41">
        <v>57.22261579775639</v>
      </c>
      <c r="F330" s="44">
        <f t="shared" si="5"/>
        <v>10.491578136367863</v>
      </c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</row>
    <row r="331" spans="1:45" s="12" customFormat="1">
      <c r="A331" s="23">
        <v>431</v>
      </c>
      <c r="B331" s="42">
        <v>3.8</v>
      </c>
      <c r="C331" s="43">
        <v>0.496</v>
      </c>
      <c r="D331" s="41">
        <v>35.251201812841117</v>
      </c>
      <c r="E331" s="41">
        <v>53.392787563216743</v>
      </c>
      <c r="F331" s="44">
        <f t="shared" si="5"/>
        <v>11.35601062394214</v>
      </c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</row>
    <row r="332" spans="1:45" s="12" customFormat="1">
      <c r="A332" s="23">
        <v>432</v>
      </c>
      <c r="B332" s="42">
        <v>2.7</v>
      </c>
      <c r="C332" s="43">
        <v>0.46899999999999997</v>
      </c>
      <c r="D332" s="41">
        <v>38.304891206993922</v>
      </c>
      <c r="E332" s="41">
        <v>53.448179261570793</v>
      </c>
      <c r="F332" s="44">
        <f t="shared" si="5"/>
        <v>8.2469295314352848</v>
      </c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</row>
    <row r="333" spans="1:45" s="12" customFormat="1">
      <c r="A333" s="23">
        <v>433</v>
      </c>
      <c r="B333" s="42">
        <v>0</v>
      </c>
      <c r="C333" s="43">
        <v>0.47699999999999998</v>
      </c>
      <c r="D333" s="41">
        <v>34.938669490025291</v>
      </c>
      <c r="E333" s="41">
        <v>54.935652972799645</v>
      </c>
      <c r="F333" s="44">
        <f t="shared" si="5"/>
        <v>10.125677537175065</v>
      </c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</row>
    <row r="334" spans="1:45" s="12" customFormat="1">
      <c r="A334" s="23">
        <v>434</v>
      </c>
      <c r="B334" s="42">
        <v>3.3</v>
      </c>
      <c r="C334" s="43">
        <v>0.45</v>
      </c>
      <c r="D334" s="41">
        <v>25.369384669653112</v>
      </c>
      <c r="E334" s="41">
        <v>48.317600101111296</v>
      </c>
      <c r="F334" s="44">
        <f t="shared" si="5"/>
        <v>26.313015229235589</v>
      </c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</row>
    <row r="335" spans="1:45" s="12" customFormat="1">
      <c r="A335" s="23">
        <v>435</v>
      </c>
      <c r="B335" s="42">
        <v>2.6</v>
      </c>
      <c r="C335" s="43">
        <v>0.41499999999999998</v>
      </c>
      <c r="D335" s="41">
        <v>24.283892194028585</v>
      </c>
      <c r="E335" s="41">
        <v>46.576101062058839</v>
      </c>
      <c r="F335" s="44">
        <f t="shared" si="5"/>
        <v>29.140006743912579</v>
      </c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</row>
    <row r="336" spans="1:45" s="12" customFormat="1">
      <c r="A336" s="23">
        <v>436</v>
      </c>
      <c r="B336" s="42">
        <v>1.8</v>
      </c>
      <c r="C336" s="43">
        <v>0.46200000000000002</v>
      </c>
      <c r="D336" s="41">
        <v>24.980135914957454</v>
      </c>
      <c r="E336" s="41">
        <v>48.301565323450134</v>
      </c>
      <c r="F336" s="44">
        <f t="shared" si="5"/>
        <v>26.718298761592408</v>
      </c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</row>
    <row r="337" spans="1:45" s="12" customFormat="1">
      <c r="A337" s="23">
        <v>437</v>
      </c>
      <c r="B337" s="42">
        <v>0</v>
      </c>
      <c r="C337" s="43">
        <v>0.48899999999999999</v>
      </c>
      <c r="D337" s="41">
        <v>24.495391034103484</v>
      </c>
      <c r="E337" s="41">
        <v>50.278870976606363</v>
      </c>
      <c r="F337" s="44">
        <f t="shared" si="5"/>
        <v>25.22573798929016</v>
      </c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</row>
    <row r="338" spans="1:45" s="12" customFormat="1">
      <c r="A338" s="23">
        <v>439</v>
      </c>
      <c r="B338" s="42">
        <v>3.3</v>
      </c>
      <c r="C338" s="43">
        <v>0.46700000000000003</v>
      </c>
      <c r="D338" s="41">
        <v>21.55091427285344</v>
      </c>
      <c r="E338" s="41">
        <v>63.367842793145591</v>
      </c>
      <c r="F338" s="44">
        <f t="shared" si="5"/>
        <v>15.081242934000961</v>
      </c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</row>
    <row r="339" spans="1:45" s="12" customFormat="1">
      <c r="A339" s="23">
        <v>440</v>
      </c>
      <c r="B339" s="42">
        <v>3.7</v>
      </c>
      <c r="C339" s="43">
        <v>0.496</v>
      </c>
      <c r="D339" s="41">
        <v>21.55091427285344</v>
      </c>
      <c r="E339" s="41">
        <v>63.367842793145591</v>
      </c>
      <c r="F339" s="44">
        <f t="shared" si="5"/>
        <v>15.081242934000961</v>
      </c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</row>
    <row r="340" spans="1:45" s="12" customFormat="1">
      <c r="A340" s="23">
        <v>441</v>
      </c>
      <c r="B340" s="42">
        <v>1.6</v>
      </c>
      <c r="C340" s="43">
        <v>0.56999999999999995</v>
      </c>
      <c r="D340" s="41">
        <v>27.978311883808843</v>
      </c>
      <c r="E340" s="41">
        <v>57.041268933084083</v>
      </c>
      <c r="F340" s="44">
        <f t="shared" si="5"/>
        <v>14.980419183107074</v>
      </c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</row>
    <row r="341" spans="1:45" s="12" customFormat="1">
      <c r="A341" s="23">
        <v>442</v>
      </c>
      <c r="B341" s="42">
        <v>1.7</v>
      </c>
      <c r="C341" s="43">
        <v>0.55900000000000005</v>
      </c>
      <c r="D341" s="41">
        <v>26.653369584395818</v>
      </c>
      <c r="E341" s="41">
        <v>59.569296511085469</v>
      </c>
      <c r="F341" s="44">
        <f t="shared" si="5"/>
        <v>13.777333904518713</v>
      </c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</row>
    <row r="342" spans="1:45" s="12" customFormat="1">
      <c r="A342" s="23">
        <v>443</v>
      </c>
      <c r="B342" s="42">
        <v>0</v>
      </c>
      <c r="C342" s="43">
        <v>0.52900000000000003</v>
      </c>
      <c r="D342" s="41">
        <v>28.528993955901722</v>
      </c>
      <c r="E342" s="41">
        <v>52.301273587848428</v>
      </c>
      <c r="F342" s="44">
        <f t="shared" si="5"/>
        <v>19.169732456249847</v>
      </c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</row>
    <row r="343" spans="1:45" s="12" customFormat="1">
      <c r="A343" s="23">
        <v>444</v>
      </c>
      <c r="B343" s="42">
        <v>0</v>
      </c>
      <c r="C343" s="43">
        <v>0.49299999999999999</v>
      </c>
      <c r="D343" s="41">
        <v>28.620200011478836</v>
      </c>
      <c r="E343" s="41">
        <v>39.312161784389623</v>
      </c>
      <c r="F343" s="44">
        <f t="shared" si="5"/>
        <v>32.067638204131548</v>
      </c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</row>
    <row r="344" spans="1:45" s="12" customFormat="1">
      <c r="A344" s="23">
        <v>445</v>
      </c>
      <c r="B344" s="42">
        <v>3.5</v>
      </c>
      <c r="C344" s="43">
        <v>0.47199999999999998</v>
      </c>
      <c r="D344" s="41">
        <v>25.662150622561658</v>
      </c>
      <c r="E344" s="41">
        <v>55.549644053312448</v>
      </c>
      <c r="F344" s="44">
        <f t="shared" si="5"/>
        <v>18.788205324125897</v>
      </c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</row>
    <row r="345" spans="1:45" s="12" customFormat="1">
      <c r="A345" s="23">
        <v>446</v>
      </c>
      <c r="B345" s="42">
        <v>3.1</v>
      </c>
      <c r="C345" s="43">
        <v>0.48299999999999998</v>
      </c>
      <c r="D345" s="41">
        <v>26.712766586870647</v>
      </c>
      <c r="E345" s="41">
        <v>56.839760477991192</v>
      </c>
      <c r="F345" s="44">
        <f t="shared" si="5"/>
        <v>16.447472935138165</v>
      </c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</row>
    <row r="346" spans="1:45" s="12" customFormat="1">
      <c r="A346" s="23">
        <v>447</v>
      </c>
      <c r="B346" s="42">
        <v>2</v>
      </c>
      <c r="C346" s="43">
        <v>0.49099999999999999</v>
      </c>
      <c r="D346" s="41">
        <v>29.733975574670403</v>
      </c>
      <c r="E346" s="41">
        <v>53.45675591231052</v>
      </c>
      <c r="F346" s="44">
        <f t="shared" si="5"/>
        <v>16.80926851301907</v>
      </c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</row>
    <row r="347" spans="1:45" s="12" customFormat="1">
      <c r="A347" s="23">
        <v>448</v>
      </c>
      <c r="B347" s="42">
        <v>3.5</v>
      </c>
      <c r="C347" s="43">
        <v>0.54800000000000004</v>
      </c>
      <c r="D347" s="41">
        <v>57.938948654605291</v>
      </c>
      <c r="E347" s="41">
        <v>32.788426410370981</v>
      </c>
      <c r="F347" s="44">
        <f t="shared" si="5"/>
        <v>9.2726249350237282</v>
      </c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</row>
    <row r="348" spans="1:45" s="12" customFormat="1">
      <c r="A348" s="23">
        <v>449</v>
      </c>
      <c r="B348" s="42">
        <v>1.7</v>
      </c>
      <c r="C348" s="43">
        <v>0.51500000000000001</v>
      </c>
      <c r="D348" s="41">
        <v>52.030477099084251</v>
      </c>
      <c r="E348" s="41">
        <v>36.504730045811655</v>
      </c>
      <c r="F348" s="44">
        <f t="shared" si="5"/>
        <v>11.464792855104093</v>
      </c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</row>
    <row r="349" spans="1:45" s="12" customFormat="1">
      <c r="A349" s="23">
        <v>450</v>
      </c>
      <c r="B349" s="42">
        <v>3.6</v>
      </c>
      <c r="C349" s="43">
        <v>0.51300000000000001</v>
      </c>
      <c r="D349" s="41">
        <v>23.047216375507933</v>
      </c>
      <c r="E349" s="41">
        <v>60.473302923038148</v>
      </c>
      <c r="F349" s="44">
        <f t="shared" si="5"/>
        <v>16.479480701453923</v>
      </c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</row>
    <row r="350" spans="1:45" s="12" customFormat="1">
      <c r="A350" s="23">
        <v>451</v>
      </c>
      <c r="B350" s="42">
        <v>3.4</v>
      </c>
      <c r="C350" s="43">
        <v>0.502</v>
      </c>
      <c r="D350" s="41">
        <v>24.111340954918521</v>
      </c>
      <c r="E350" s="41">
        <v>59.202490364307138</v>
      </c>
      <c r="F350" s="44">
        <f t="shared" si="5"/>
        <v>16.686168680774344</v>
      </c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</row>
    <row r="351" spans="1:45" s="12" customFormat="1">
      <c r="A351" s="23">
        <v>452</v>
      </c>
      <c r="B351" s="42">
        <v>2.7</v>
      </c>
      <c r="C351" s="43">
        <v>0.55500000000000005</v>
      </c>
      <c r="D351" s="41">
        <v>26.131038019192328</v>
      </c>
      <c r="E351" s="41">
        <v>58.440185998553019</v>
      </c>
      <c r="F351" s="44">
        <f t="shared" si="5"/>
        <v>15.428775982254649</v>
      </c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</row>
    <row r="352" spans="1:45" s="12" customFormat="1">
      <c r="A352" s="23">
        <v>453</v>
      </c>
      <c r="B352" s="42">
        <v>2.6</v>
      </c>
      <c r="C352" s="43">
        <v>0.52500000000000002</v>
      </c>
      <c r="D352" s="41">
        <v>33.603562781540788</v>
      </c>
      <c r="E352" s="41">
        <v>50.091504574758346</v>
      </c>
      <c r="F352" s="44">
        <f t="shared" si="5"/>
        <v>16.304932643700866</v>
      </c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</row>
    <row r="353" spans="1:45" s="12" customFormat="1">
      <c r="A353" s="23">
        <v>455</v>
      </c>
      <c r="B353" s="42">
        <v>4.5</v>
      </c>
      <c r="C353" s="43">
        <v>0.54</v>
      </c>
      <c r="D353" s="41">
        <v>59.576955857995081</v>
      </c>
      <c r="E353" s="41">
        <v>33.516353280749904</v>
      </c>
      <c r="F353" s="44">
        <f t="shared" si="5"/>
        <v>6.9066908612550151</v>
      </c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</row>
    <row r="354" spans="1:45" s="13" customFormat="1">
      <c r="A354" s="21" t="s">
        <v>10</v>
      </c>
      <c r="B354" s="42">
        <v>2</v>
      </c>
      <c r="C354" s="43">
        <v>0.51700000000000002</v>
      </c>
      <c r="D354" s="41">
        <v>60.407340510573007</v>
      </c>
      <c r="E354" s="41">
        <v>33.644298955908553</v>
      </c>
      <c r="F354" s="44">
        <f t="shared" si="5"/>
        <v>5.9483605335184393</v>
      </c>
      <c r="G354" s="35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</row>
    <row r="355" spans="1:45" s="13" customFormat="1">
      <c r="A355" s="24" t="s">
        <v>11</v>
      </c>
      <c r="B355" s="42">
        <v>0</v>
      </c>
      <c r="C355" s="52">
        <v>0.45</v>
      </c>
      <c r="D355" s="41">
        <v>43.360686903109794</v>
      </c>
      <c r="E355" s="41">
        <v>47.854257442681586</v>
      </c>
      <c r="F355" s="44">
        <f t="shared" si="5"/>
        <v>8.7850556542086196</v>
      </c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</row>
    <row r="356" spans="1:45" s="12" customFormat="1">
      <c r="A356" s="23">
        <v>459</v>
      </c>
      <c r="B356" s="42">
        <v>3.6</v>
      </c>
      <c r="C356" s="43">
        <v>0.48299999999999998</v>
      </c>
      <c r="D356" s="41">
        <v>29.553683760919636</v>
      </c>
      <c r="E356" s="41">
        <v>52.368828948412514</v>
      </c>
      <c r="F356" s="44">
        <f t="shared" si="5"/>
        <v>18.077487290667847</v>
      </c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</row>
    <row r="357" spans="1:45" s="12" customFormat="1">
      <c r="A357" s="23">
        <v>460</v>
      </c>
      <c r="B357" s="42">
        <v>3.1</v>
      </c>
      <c r="C357" s="43">
        <v>0.50600000000000001</v>
      </c>
      <c r="D357" s="41">
        <v>33.153250906318135</v>
      </c>
      <c r="E357" s="41">
        <v>45.940237393301885</v>
      </c>
      <c r="F357" s="44">
        <f t="shared" si="5"/>
        <v>20.90651170037998</v>
      </c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</row>
    <row r="358" spans="1:45" s="13" customFormat="1">
      <c r="A358" s="21" t="s">
        <v>12</v>
      </c>
      <c r="B358" s="42">
        <v>2.2000000000000002</v>
      </c>
      <c r="C358" s="43">
        <v>0.432</v>
      </c>
      <c r="D358" s="41">
        <v>31.900586079544613</v>
      </c>
      <c r="E358" s="41">
        <v>56.895352499544529</v>
      </c>
      <c r="F358" s="44">
        <f t="shared" si="5"/>
        <v>11.204061420910861</v>
      </c>
      <c r="G358" s="35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</row>
    <row r="359" spans="1:45" s="13" customFormat="1">
      <c r="A359" s="24" t="s">
        <v>13</v>
      </c>
      <c r="B359" s="42">
        <v>1.7</v>
      </c>
      <c r="C359" s="52">
        <v>0.42399999999999999</v>
      </c>
      <c r="D359" s="41">
        <v>38.660024762411219</v>
      </c>
      <c r="E359" s="41">
        <v>54.044461523205179</v>
      </c>
      <c r="F359" s="44">
        <f t="shared" si="5"/>
        <v>7.2955137143836026</v>
      </c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</row>
    <row r="360" spans="1:45" s="12" customFormat="1">
      <c r="A360" s="23">
        <v>463</v>
      </c>
      <c r="B360" s="42">
        <v>1.2</v>
      </c>
      <c r="C360" s="43">
        <v>0.47799999999999998</v>
      </c>
      <c r="D360" s="41">
        <v>45.713008712184106</v>
      </c>
      <c r="E360" s="41">
        <v>45.968838697950389</v>
      </c>
      <c r="F360" s="44">
        <f t="shared" si="5"/>
        <v>8.3181525898655053</v>
      </c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</row>
    <row r="361" spans="1:45" s="12" customFormat="1">
      <c r="A361" s="23">
        <v>464</v>
      </c>
      <c r="B361" s="42">
        <v>0</v>
      </c>
      <c r="C361" s="43">
        <v>0.496</v>
      </c>
      <c r="D361" s="41">
        <v>39.831856537912657</v>
      </c>
      <c r="E361" s="41">
        <v>53.018448965541282</v>
      </c>
      <c r="F361" s="44">
        <f t="shared" si="5"/>
        <v>7.1496944965460614</v>
      </c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</row>
    <row r="362" spans="1:45" s="12" customFormat="1">
      <c r="A362" s="23">
        <v>465</v>
      </c>
      <c r="B362" s="42">
        <v>3.4</v>
      </c>
      <c r="C362" s="43">
        <v>0.49299999999999999</v>
      </c>
      <c r="D362" s="41">
        <v>30.350012477517968</v>
      </c>
      <c r="E362" s="41">
        <v>63.64891054968426</v>
      </c>
      <c r="F362" s="44">
        <f t="shared" si="5"/>
        <v>6.001076972797776</v>
      </c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</row>
    <row r="363" spans="1:45" s="12" customFormat="1">
      <c r="A363" s="23">
        <v>466</v>
      </c>
      <c r="B363" s="42">
        <v>3.4</v>
      </c>
      <c r="C363" s="43">
        <v>0.45700000000000002</v>
      </c>
      <c r="D363" s="41">
        <v>33.296418329616991</v>
      </c>
      <c r="E363" s="41">
        <v>51.628013157482563</v>
      </c>
      <c r="F363" s="44">
        <f t="shared" si="5"/>
        <v>15.075568512900453</v>
      </c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</row>
    <row r="364" spans="1:45" s="13" customFormat="1">
      <c r="A364" s="21" t="s">
        <v>14</v>
      </c>
      <c r="B364" s="42">
        <v>1.9</v>
      </c>
      <c r="C364" s="43">
        <v>0.439</v>
      </c>
      <c r="D364" s="41">
        <v>31.077600132060535</v>
      </c>
      <c r="E364" s="41">
        <v>54.695063973741654</v>
      </c>
      <c r="F364" s="44">
        <f t="shared" si="5"/>
        <v>14.227335894197807</v>
      </c>
      <c r="G364" s="35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</row>
    <row r="365" spans="1:45" s="13" customFormat="1">
      <c r="A365" s="24" t="s">
        <v>15</v>
      </c>
      <c r="B365" s="42">
        <v>2.6</v>
      </c>
      <c r="C365" s="52">
        <v>0.48099999999999998</v>
      </c>
      <c r="D365" s="41">
        <v>31.544096352614797</v>
      </c>
      <c r="E365" s="41">
        <v>53.092695488606154</v>
      </c>
      <c r="F365" s="44">
        <f t="shared" si="5"/>
        <v>15.363208158779045</v>
      </c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</row>
    <row r="366" spans="1:45" s="12" customFormat="1">
      <c r="A366" s="23">
        <v>469</v>
      </c>
      <c r="B366" s="42">
        <v>1.9</v>
      </c>
      <c r="C366" s="43">
        <v>0.504</v>
      </c>
      <c r="D366" s="41">
        <v>30.164318001298778</v>
      </c>
      <c r="E366" s="41">
        <v>56.772322401934304</v>
      </c>
      <c r="F366" s="44">
        <f t="shared" si="5"/>
        <v>13.063359596766915</v>
      </c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</row>
    <row r="367" spans="1:45" s="12" customFormat="1">
      <c r="A367" s="23">
        <v>470</v>
      </c>
      <c r="B367" s="42">
        <v>1.1000000000000001</v>
      </c>
      <c r="C367" s="43">
        <v>0.496</v>
      </c>
      <c r="D367" s="41">
        <v>30.699350018366296</v>
      </c>
      <c r="E367" s="41">
        <v>57.149446819253392</v>
      </c>
      <c r="F367" s="44">
        <f t="shared" si="5"/>
        <v>12.15120316238032</v>
      </c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</row>
    <row r="368" spans="1:45" s="12" customFormat="1">
      <c r="A368" s="23">
        <v>471</v>
      </c>
      <c r="B368" s="42">
        <v>0</v>
      </c>
      <c r="C368" s="43">
        <v>0.45900000000000002</v>
      </c>
      <c r="D368" s="41">
        <v>22.484736451313083</v>
      </c>
      <c r="E368" s="41">
        <v>58.372037793208236</v>
      </c>
      <c r="F368" s="44">
        <f t="shared" si="5"/>
        <v>19.143225755478682</v>
      </c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</row>
    <row r="369" spans="1:45" s="13" customFormat="1">
      <c r="A369" s="21" t="s">
        <v>16</v>
      </c>
      <c r="B369" s="42">
        <v>3.7</v>
      </c>
      <c r="C369" s="43">
        <v>0.41299999999999998</v>
      </c>
      <c r="D369" s="41">
        <v>47.868350258002486</v>
      </c>
      <c r="E369" s="41">
        <v>47.519472119690967</v>
      </c>
      <c r="F369" s="44">
        <f t="shared" si="5"/>
        <v>4.6121776223065467</v>
      </c>
      <c r="G369" s="35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</row>
    <row r="370" spans="1:45" s="12" customFormat="1">
      <c r="A370" s="23">
        <v>474</v>
      </c>
      <c r="B370" s="42">
        <v>2.4</v>
      </c>
      <c r="C370" s="43">
        <v>0.53900000000000003</v>
      </c>
      <c r="D370" s="41">
        <v>55.284623074114201</v>
      </c>
      <c r="E370" s="41">
        <v>34.310741610727455</v>
      </c>
      <c r="F370" s="44">
        <f t="shared" si="5"/>
        <v>10.404635315158345</v>
      </c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</row>
    <row r="371" spans="1:45" s="13" customFormat="1">
      <c r="A371" s="21" t="s">
        <v>17</v>
      </c>
      <c r="B371" s="42">
        <v>1.9</v>
      </c>
      <c r="C371" s="43">
        <v>0.45</v>
      </c>
      <c r="D371" s="41">
        <v>56.777324863112256</v>
      </c>
      <c r="E371" s="41">
        <v>39.275858453884553</v>
      </c>
      <c r="F371" s="44">
        <f t="shared" si="5"/>
        <v>3.9468166830031919</v>
      </c>
      <c r="G371" s="35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</row>
    <row r="372" spans="1:45" s="12" customFormat="1">
      <c r="A372" s="23">
        <v>476</v>
      </c>
      <c r="B372" s="42">
        <v>1.2</v>
      </c>
      <c r="C372" s="43">
        <v>0.46700000000000003</v>
      </c>
      <c r="D372" s="41">
        <v>54.679802908656875</v>
      </c>
      <c r="E372" s="41">
        <v>44.083531636403286</v>
      </c>
      <c r="F372" s="44">
        <f t="shared" si="5"/>
        <v>1.236665454939839</v>
      </c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</row>
    <row r="373" spans="1:45" s="12" customFormat="1">
      <c r="A373" s="23">
        <v>477</v>
      </c>
      <c r="B373" s="42">
        <v>0</v>
      </c>
      <c r="C373" s="43">
        <v>0.50700000000000001</v>
      </c>
      <c r="D373" s="41">
        <v>31.81211597485024</v>
      </c>
      <c r="E373" s="41">
        <v>64.947150100128653</v>
      </c>
      <c r="F373" s="44">
        <f t="shared" si="5"/>
        <v>3.2407339250211038</v>
      </c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</row>
    <row r="374" spans="1:45" s="13" customFormat="1">
      <c r="A374" s="21" t="s">
        <v>18</v>
      </c>
      <c r="B374" s="42">
        <v>3.6</v>
      </c>
      <c r="C374" s="43">
        <v>0.46800000000000003</v>
      </c>
      <c r="D374" s="41">
        <v>30.860973643266615</v>
      </c>
      <c r="E374" s="41">
        <v>49.666937342152579</v>
      </c>
      <c r="F374" s="44">
        <f t="shared" si="5"/>
        <v>19.472089014580803</v>
      </c>
      <c r="G374" s="35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</row>
    <row r="375" spans="1:45" s="13" customFormat="1">
      <c r="A375" s="24" t="s">
        <v>19</v>
      </c>
      <c r="B375" s="42">
        <v>3.6</v>
      </c>
      <c r="C375" s="52">
        <v>0.48699999999999999</v>
      </c>
      <c r="D375" s="41">
        <v>29.300539526297054</v>
      </c>
      <c r="E375" s="41">
        <v>52.636758701004666</v>
      </c>
      <c r="F375" s="44">
        <f t="shared" si="5"/>
        <v>18.062701772698276</v>
      </c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</row>
    <row r="376" spans="1:45" s="12" customFormat="1">
      <c r="A376" s="23">
        <v>480</v>
      </c>
      <c r="B376" s="42">
        <v>3.1</v>
      </c>
      <c r="C376" s="43">
        <v>0.46800000000000003</v>
      </c>
      <c r="D376" s="41">
        <v>31.948912190637628</v>
      </c>
      <c r="E376" s="41">
        <v>51.522176102778829</v>
      </c>
      <c r="F376" s="44">
        <f t="shared" si="5"/>
        <v>16.528911706583543</v>
      </c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</row>
    <row r="377" spans="1:45" s="13" customFormat="1">
      <c r="A377" s="21" t="s">
        <v>20</v>
      </c>
      <c r="B377" s="42">
        <v>1.8</v>
      </c>
      <c r="C377" s="43">
        <v>0.43099999999999999</v>
      </c>
      <c r="D377" s="41">
        <v>30.915858926520556</v>
      </c>
      <c r="E377" s="41">
        <v>50.49165337234794</v>
      </c>
      <c r="F377" s="44">
        <f t="shared" si="5"/>
        <v>18.592487701131503</v>
      </c>
      <c r="G377" s="35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</row>
    <row r="378" spans="1:45" s="12" customFormat="1">
      <c r="A378" s="23">
        <v>482</v>
      </c>
      <c r="B378" s="42">
        <v>0</v>
      </c>
      <c r="C378" s="43">
        <v>0.59399999999999997</v>
      </c>
      <c r="D378" s="41">
        <v>25.670837059835932</v>
      </c>
      <c r="E378" s="41">
        <v>57.430172717687896</v>
      </c>
      <c r="F378" s="44">
        <f t="shared" si="5"/>
        <v>16.898990222476172</v>
      </c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</row>
    <row r="379" spans="1:45" s="12" customFormat="1">
      <c r="A379" s="23">
        <v>484</v>
      </c>
      <c r="B379" s="42">
        <v>3.4</v>
      </c>
      <c r="C379" s="43">
        <v>0.56899999999999995</v>
      </c>
      <c r="D379" s="41">
        <v>33.707320845745258</v>
      </c>
      <c r="E379" s="41">
        <v>49.997087198746499</v>
      </c>
      <c r="F379" s="44">
        <f t="shared" si="5"/>
        <v>16.295591955508243</v>
      </c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</row>
    <row r="380" spans="1:45" s="12" customFormat="1">
      <c r="A380" s="23">
        <v>485</v>
      </c>
      <c r="B380" s="42">
        <v>2.9</v>
      </c>
      <c r="C380" s="43">
        <v>0.52800000000000002</v>
      </c>
      <c r="D380" s="41">
        <v>34.57597465504837</v>
      </c>
      <c r="E380" s="41">
        <v>46.935918794447218</v>
      </c>
      <c r="F380" s="44">
        <f t="shared" si="5"/>
        <v>18.488106550504412</v>
      </c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</row>
    <row r="381" spans="1:45" s="12" customFormat="1">
      <c r="A381" s="23">
        <v>486</v>
      </c>
      <c r="B381" s="42">
        <v>2.2999999999999998</v>
      </c>
      <c r="C381" s="43">
        <v>0.48699999999999999</v>
      </c>
      <c r="D381" s="41">
        <v>33.861707920560534</v>
      </c>
      <c r="E381" s="41">
        <v>48.627859292959599</v>
      </c>
      <c r="F381" s="44">
        <f t="shared" si="5"/>
        <v>17.510432786479868</v>
      </c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</row>
    <row r="382" spans="1:45" s="13" customFormat="1">
      <c r="A382" s="21" t="s">
        <v>21</v>
      </c>
      <c r="B382" s="42">
        <v>1.5</v>
      </c>
      <c r="C382" s="43">
        <v>0.46300000000000002</v>
      </c>
      <c r="D382" s="41">
        <v>34.093886619350883</v>
      </c>
      <c r="E382" s="41">
        <v>51.895120358530278</v>
      </c>
      <c r="F382" s="44">
        <f t="shared" si="5"/>
        <v>14.010993022118839</v>
      </c>
      <c r="G382" s="35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</row>
    <row r="383" spans="1:45" s="12" customFormat="1">
      <c r="A383" s="23">
        <v>488</v>
      </c>
      <c r="B383" s="42">
        <v>0</v>
      </c>
      <c r="C383" s="43">
        <v>0.47099999999999997</v>
      </c>
      <c r="D383" s="41">
        <v>32.378803893101569</v>
      </c>
      <c r="E383" s="41">
        <v>49.518209188415177</v>
      </c>
      <c r="F383" s="44">
        <f t="shared" si="5"/>
        <v>18.102986918483246</v>
      </c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</row>
    <row r="384" spans="1:45" s="12" customFormat="1">
      <c r="A384" s="23">
        <v>489</v>
      </c>
      <c r="B384" s="42">
        <v>2.2999999999999998</v>
      </c>
      <c r="C384" s="43">
        <v>0.48</v>
      </c>
      <c r="D384" s="41">
        <v>32.705176838628716</v>
      </c>
      <c r="E384" s="41">
        <v>54.325141827380222</v>
      </c>
      <c r="F384" s="44">
        <f t="shared" si="5"/>
        <v>12.969681333991062</v>
      </c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</row>
    <row r="385" spans="1:45" s="12" customFormat="1">
      <c r="A385" s="23">
        <v>490</v>
      </c>
      <c r="B385" s="42">
        <v>2.2000000000000002</v>
      </c>
      <c r="C385" s="43">
        <v>0.49399999999999999</v>
      </c>
      <c r="D385" s="41">
        <v>32.819112344604783</v>
      </c>
      <c r="E385" s="41">
        <v>52.957701820215483</v>
      </c>
      <c r="F385" s="44">
        <f t="shared" si="5"/>
        <v>14.223185835179741</v>
      </c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</row>
    <row r="386" spans="1:45" s="12" customFormat="1">
      <c r="A386" s="23">
        <v>491</v>
      </c>
      <c r="B386" s="42">
        <v>1.4</v>
      </c>
      <c r="C386" s="43">
        <v>0.56100000000000005</v>
      </c>
      <c r="D386" s="41">
        <v>38.114419509265481</v>
      </c>
      <c r="E386" s="41">
        <v>37.376726623849798</v>
      </c>
      <c r="F386" s="44">
        <f t="shared" si="5"/>
        <v>24.508853866884721</v>
      </c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</row>
    <row r="387" spans="1:45" s="12" customFormat="1">
      <c r="A387" s="23">
        <v>492</v>
      </c>
      <c r="B387" s="42">
        <v>0</v>
      </c>
      <c r="C387" s="43">
        <v>0.434</v>
      </c>
      <c r="D387" s="41">
        <v>14.363334948534781</v>
      </c>
      <c r="E387" s="41">
        <v>41.340090509916763</v>
      </c>
      <c r="F387" s="44">
        <f t="shared" si="5"/>
        <v>44.296574541548452</v>
      </c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</row>
    <row r="388" spans="1:45" s="12" customFormat="1">
      <c r="A388" s="23">
        <v>493</v>
      </c>
      <c r="B388" s="42">
        <v>3.2</v>
      </c>
      <c r="C388" s="43">
        <v>0.504</v>
      </c>
      <c r="D388" s="41">
        <v>32.060329355405806</v>
      </c>
      <c r="E388" s="41">
        <v>52.852359850850355</v>
      </c>
      <c r="F388" s="44">
        <f t="shared" si="5"/>
        <v>15.087310793743846</v>
      </c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</row>
    <row r="389" spans="1:45" s="12" customFormat="1">
      <c r="A389" s="23">
        <v>494</v>
      </c>
      <c r="B389" s="42">
        <v>2.7</v>
      </c>
      <c r="C389" s="43">
        <v>0.496</v>
      </c>
      <c r="D389" s="41">
        <v>37.384314652661836</v>
      </c>
      <c r="E389" s="41">
        <v>46.343971150752701</v>
      </c>
      <c r="F389" s="44">
        <f t="shared" ref="F389:F452" si="6">100-D389-E389</f>
        <v>16.271714196585464</v>
      </c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</row>
    <row r="390" spans="1:45" s="12" customFormat="1">
      <c r="A390" s="23">
        <v>495</v>
      </c>
      <c r="B390" s="42">
        <v>0.5</v>
      </c>
      <c r="C390" s="43">
        <v>0.48899999999999999</v>
      </c>
      <c r="D390" s="41">
        <v>32.20179977800791</v>
      </c>
      <c r="E390" s="41">
        <v>55.061234170755938</v>
      </c>
      <c r="F390" s="44">
        <f t="shared" si="6"/>
        <v>12.736966051236152</v>
      </c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</row>
    <row r="391" spans="1:45" s="12" customFormat="1">
      <c r="A391" s="23">
        <v>496</v>
      </c>
      <c r="B391" s="42">
        <v>0</v>
      </c>
      <c r="C391" s="43">
        <v>0.45200000000000001</v>
      </c>
      <c r="D391" s="41">
        <v>23.487273901420345</v>
      </c>
      <c r="E391" s="41">
        <v>55.601330309280961</v>
      </c>
      <c r="F391" s="44">
        <f t="shared" si="6"/>
        <v>20.911395789298702</v>
      </c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</row>
    <row r="392" spans="1:45" s="12" customFormat="1">
      <c r="A392" s="23">
        <v>497</v>
      </c>
      <c r="B392" s="42">
        <v>2.9</v>
      </c>
      <c r="C392" s="43">
        <v>0.46100000000000002</v>
      </c>
      <c r="D392" s="41">
        <v>28.806728981028019</v>
      </c>
      <c r="E392" s="41">
        <v>51.32264600748978</v>
      </c>
      <c r="F392" s="44">
        <f t="shared" si="6"/>
        <v>19.870625011482204</v>
      </c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</row>
    <row r="393" spans="1:45" s="13" customFormat="1">
      <c r="A393" s="21" t="s">
        <v>22</v>
      </c>
      <c r="B393" s="42">
        <v>3.5</v>
      </c>
      <c r="C393" s="43">
        <v>0.45400000000000001</v>
      </c>
      <c r="D393" s="41">
        <v>29.956775870923185</v>
      </c>
      <c r="E393" s="41">
        <v>53.33190459914529</v>
      </c>
      <c r="F393" s="44">
        <f t="shared" si="6"/>
        <v>16.711319529931529</v>
      </c>
      <c r="G393" s="35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</row>
    <row r="394" spans="1:45" s="13" customFormat="1">
      <c r="A394" s="24" t="s">
        <v>23</v>
      </c>
      <c r="B394" s="42">
        <v>2</v>
      </c>
      <c r="C394" s="52">
        <v>0.435</v>
      </c>
      <c r="D394" s="41">
        <v>31.535357072411347</v>
      </c>
      <c r="E394" s="41">
        <v>52.212014366474918</v>
      </c>
      <c r="F394" s="44">
        <f t="shared" si="6"/>
        <v>16.252628561113738</v>
      </c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</row>
    <row r="395" spans="1:45" s="12" customFormat="1">
      <c r="A395" s="23">
        <v>500</v>
      </c>
      <c r="B395" s="42">
        <v>1.1000000000000001</v>
      </c>
      <c r="C395" s="43">
        <v>0.46100000000000002</v>
      </c>
      <c r="D395" s="41">
        <v>31.867676494778692</v>
      </c>
      <c r="E395" s="41">
        <v>51.806549416010043</v>
      </c>
      <c r="F395" s="44">
        <f t="shared" si="6"/>
        <v>16.325774089211265</v>
      </c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</row>
    <row r="396" spans="1:45" s="12" customFormat="1">
      <c r="A396" s="23">
        <v>501</v>
      </c>
      <c r="B396" s="42">
        <v>0.6</v>
      </c>
      <c r="C396" s="43">
        <v>0.42399999999999999</v>
      </c>
      <c r="D396" s="41">
        <v>24.567514906952638</v>
      </c>
      <c r="E396" s="41">
        <v>54.727814955024428</v>
      </c>
      <c r="F396" s="44">
        <f t="shared" si="6"/>
        <v>20.704670138022934</v>
      </c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</row>
    <row r="397" spans="1:45" s="12" customFormat="1">
      <c r="A397" s="23">
        <v>502</v>
      </c>
      <c r="B397" s="42">
        <v>0</v>
      </c>
      <c r="C397" s="43">
        <v>0.45400000000000001</v>
      </c>
      <c r="D397" s="41">
        <v>21.950384344921158</v>
      </c>
      <c r="E397" s="41">
        <v>61.114928693381344</v>
      </c>
      <c r="F397" s="44">
        <f t="shared" si="6"/>
        <v>16.934686961697494</v>
      </c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</row>
    <row r="398" spans="1:45" s="13" customFormat="1">
      <c r="A398" s="21" t="s">
        <v>24</v>
      </c>
      <c r="B398" s="42">
        <v>4.2</v>
      </c>
      <c r="C398" s="43">
        <v>0.42299999999999999</v>
      </c>
      <c r="D398" s="41">
        <v>39.595283595222021</v>
      </c>
      <c r="E398" s="41">
        <v>45.963254047154926</v>
      </c>
      <c r="F398" s="44">
        <f t="shared" si="6"/>
        <v>14.441462357623053</v>
      </c>
      <c r="G398" s="35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</row>
    <row r="399" spans="1:45" s="13" customFormat="1">
      <c r="A399" s="24" t="s">
        <v>25</v>
      </c>
      <c r="B399" s="42">
        <v>3.8</v>
      </c>
      <c r="C399" s="52">
        <v>0.40400000000000003</v>
      </c>
      <c r="D399" s="41">
        <v>38.452827026878815</v>
      </c>
      <c r="E399" s="41">
        <v>49.221179303027533</v>
      </c>
      <c r="F399" s="44">
        <f t="shared" si="6"/>
        <v>12.325993670093652</v>
      </c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</row>
    <row r="400" spans="1:45" s="13" customFormat="1">
      <c r="A400" s="24" t="s">
        <v>26</v>
      </c>
      <c r="B400" s="42">
        <v>2.1</v>
      </c>
      <c r="C400" s="52">
        <v>0.39700000000000002</v>
      </c>
      <c r="D400" s="41">
        <v>40.51549137962764</v>
      </c>
      <c r="E400" s="41">
        <v>46.680876839441105</v>
      </c>
      <c r="F400" s="44">
        <f t="shared" si="6"/>
        <v>12.803631780931255</v>
      </c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</row>
    <row r="401" spans="1:45" s="13" customFormat="1">
      <c r="A401" s="24" t="s">
        <v>27</v>
      </c>
      <c r="B401" s="42">
        <v>0</v>
      </c>
      <c r="C401" s="52">
        <v>0.434</v>
      </c>
      <c r="D401" s="41">
        <v>33.691836559769975</v>
      </c>
      <c r="E401" s="41">
        <v>53.096277504206704</v>
      </c>
      <c r="F401" s="44">
        <f t="shared" si="6"/>
        <v>13.211885936023329</v>
      </c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</row>
    <row r="402" spans="1:45" s="12" customFormat="1">
      <c r="A402" s="23">
        <v>508</v>
      </c>
      <c r="B402" s="42">
        <v>4</v>
      </c>
      <c r="C402" s="43">
        <v>0.42799999999999999</v>
      </c>
      <c r="D402" s="41">
        <v>38.113535402780272</v>
      </c>
      <c r="E402" s="41">
        <v>53.294146292266163</v>
      </c>
      <c r="F402" s="44">
        <f t="shared" si="6"/>
        <v>8.5923183049535652</v>
      </c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</row>
    <row r="403" spans="1:45" s="12" customFormat="1">
      <c r="A403" s="23">
        <v>509</v>
      </c>
      <c r="B403" s="42">
        <v>3.7</v>
      </c>
      <c r="C403" s="43">
        <v>0.48299999999999998</v>
      </c>
      <c r="D403" s="41">
        <v>37.078842793279314</v>
      </c>
      <c r="E403" s="41">
        <v>51.109144113562188</v>
      </c>
      <c r="F403" s="44">
        <f t="shared" si="6"/>
        <v>11.812013093158498</v>
      </c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</row>
    <row r="404" spans="1:45" s="12" customFormat="1">
      <c r="A404" s="23">
        <v>510</v>
      </c>
      <c r="B404" s="42">
        <v>3.3</v>
      </c>
      <c r="C404" s="43">
        <v>0.53100000000000003</v>
      </c>
      <c r="D404" s="41">
        <v>37.952093390660394</v>
      </c>
      <c r="E404" s="41">
        <v>54.318651522727023</v>
      </c>
      <c r="F404" s="44">
        <f t="shared" si="6"/>
        <v>7.7292550866125822</v>
      </c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</row>
    <row r="405" spans="1:45" s="12" customFormat="1">
      <c r="A405" s="23">
        <v>511</v>
      </c>
      <c r="B405" s="42">
        <v>0</v>
      </c>
      <c r="C405" s="43">
        <v>0.48299999999999998</v>
      </c>
      <c r="D405" s="41">
        <v>36.784448002041145</v>
      </c>
      <c r="E405" s="41">
        <v>55.397921406350761</v>
      </c>
      <c r="F405" s="44">
        <f t="shared" si="6"/>
        <v>7.8176305916080935</v>
      </c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</row>
    <row r="406" spans="1:45" s="12" customFormat="1">
      <c r="A406" s="23">
        <v>512</v>
      </c>
      <c r="B406" s="42">
        <v>0</v>
      </c>
      <c r="C406" s="43">
        <v>0.498</v>
      </c>
      <c r="D406" s="41">
        <v>37.38568603806376</v>
      </c>
      <c r="E406" s="41">
        <v>52.293139699873954</v>
      </c>
      <c r="F406" s="44">
        <f t="shared" si="6"/>
        <v>10.321174262062286</v>
      </c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</row>
    <row r="407" spans="1:45" s="12" customFormat="1">
      <c r="A407" s="23">
        <v>513</v>
      </c>
      <c r="B407" s="42">
        <v>0</v>
      </c>
      <c r="C407" s="43">
        <v>0.45</v>
      </c>
      <c r="D407" s="41">
        <v>35.984269969456747</v>
      </c>
      <c r="E407" s="41">
        <v>55.017041951566554</v>
      </c>
      <c r="F407" s="44">
        <f t="shared" si="6"/>
        <v>8.9986880789766985</v>
      </c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</row>
    <row r="408" spans="1:45" s="13" customFormat="1">
      <c r="A408" s="21" t="s">
        <v>28</v>
      </c>
      <c r="B408" s="42">
        <v>0</v>
      </c>
      <c r="C408" s="43">
        <v>0.45</v>
      </c>
      <c r="D408" s="41">
        <v>27.171265114428166</v>
      </c>
      <c r="E408" s="41">
        <v>59.743217099693723</v>
      </c>
      <c r="F408" s="44">
        <f t="shared" si="6"/>
        <v>13.08551778587811</v>
      </c>
      <c r="G408" s="35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</row>
    <row r="409" spans="1:45" s="12" customFormat="1">
      <c r="A409" s="23">
        <v>515</v>
      </c>
      <c r="B409" s="42">
        <v>0</v>
      </c>
      <c r="C409" s="43">
        <v>0.46500000000000002</v>
      </c>
      <c r="D409" s="41">
        <v>13.99376301234263</v>
      </c>
      <c r="E409" s="41">
        <v>53.304752445590097</v>
      </c>
      <c r="F409" s="44">
        <f t="shared" si="6"/>
        <v>32.701484542067277</v>
      </c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</row>
    <row r="410" spans="1:45" s="13" customFormat="1">
      <c r="A410" s="21" t="s">
        <v>29</v>
      </c>
      <c r="B410" s="42">
        <v>0</v>
      </c>
      <c r="C410" s="43">
        <v>0.45700000000000002</v>
      </c>
      <c r="D410" s="41">
        <v>12.800298347744462</v>
      </c>
      <c r="E410" s="41">
        <v>51.31810246081443</v>
      </c>
      <c r="F410" s="44">
        <f t="shared" si="6"/>
        <v>35.881599191441111</v>
      </c>
      <c r="G410" s="35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</row>
    <row r="411" spans="1:45" s="13" customFormat="1">
      <c r="A411" s="24" t="s">
        <v>30</v>
      </c>
      <c r="B411" s="42">
        <v>0</v>
      </c>
      <c r="C411" s="52">
        <v>0.45900000000000002</v>
      </c>
      <c r="D411" s="41">
        <v>52.966555840967011</v>
      </c>
      <c r="E411" s="41">
        <v>36.788303236516974</v>
      </c>
      <c r="F411" s="44">
        <f t="shared" si="6"/>
        <v>10.245140922516015</v>
      </c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</row>
    <row r="412" spans="1:45" s="13" customFormat="1">
      <c r="A412" s="24" t="s">
        <v>31</v>
      </c>
      <c r="B412" s="42">
        <v>0</v>
      </c>
      <c r="C412" s="52">
        <v>0.42599999999999999</v>
      </c>
      <c r="D412" s="41">
        <v>52.965983233810221</v>
      </c>
      <c r="E412" s="41">
        <v>36.788151291060629</v>
      </c>
      <c r="F412" s="44">
        <f t="shared" si="6"/>
        <v>10.24586547512915</v>
      </c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</row>
    <row r="413" spans="1:45" s="12" customFormat="1">
      <c r="A413" s="23">
        <v>519</v>
      </c>
      <c r="B413" s="42">
        <v>0</v>
      </c>
      <c r="C413" s="43">
        <v>0.51100000000000001</v>
      </c>
      <c r="D413" s="41">
        <v>56.343841515666057</v>
      </c>
      <c r="E413" s="41">
        <v>35.022008642960884</v>
      </c>
      <c r="F413" s="44">
        <f t="shared" si="6"/>
        <v>8.6341498413730591</v>
      </c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</row>
    <row r="414" spans="1:45" s="12" customFormat="1">
      <c r="A414" s="23">
        <v>520</v>
      </c>
      <c r="B414" s="42">
        <v>0</v>
      </c>
      <c r="C414" s="43">
        <v>0.51100000000000001</v>
      </c>
      <c r="D414" s="41">
        <v>63.766357126923545</v>
      </c>
      <c r="E414" s="41">
        <v>30.406811027591154</v>
      </c>
      <c r="F414" s="44">
        <f t="shared" si="6"/>
        <v>5.8268318454853016</v>
      </c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</row>
    <row r="415" spans="1:45" s="12" customFormat="1">
      <c r="A415" s="23">
        <v>522</v>
      </c>
      <c r="B415" s="42">
        <v>0</v>
      </c>
      <c r="C415" s="43">
        <v>0.46400000000000002</v>
      </c>
      <c r="D415" s="41">
        <v>52.351735543482292</v>
      </c>
      <c r="E415" s="41">
        <v>40.717123284361591</v>
      </c>
      <c r="F415" s="44">
        <f t="shared" si="6"/>
        <v>6.9311411721561171</v>
      </c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</row>
    <row r="416" spans="1:45" s="13" customFormat="1">
      <c r="A416" s="21" t="s">
        <v>32</v>
      </c>
      <c r="B416" s="42">
        <v>0</v>
      </c>
      <c r="C416" s="43">
        <v>0.436</v>
      </c>
      <c r="D416" s="41">
        <v>55.853808769502656</v>
      </c>
      <c r="E416" s="41">
        <v>32.671088884084647</v>
      </c>
      <c r="F416" s="44">
        <f t="shared" si="6"/>
        <v>11.475102346412697</v>
      </c>
      <c r="G416" s="35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</row>
    <row r="417" spans="1:45" s="13" customFormat="1">
      <c r="A417" s="24" t="s">
        <v>33</v>
      </c>
      <c r="B417" s="42">
        <v>3.7</v>
      </c>
      <c r="C417" s="52">
        <v>0.434</v>
      </c>
      <c r="D417" s="41">
        <v>59.153994222999259</v>
      </c>
      <c r="E417" s="41">
        <v>33.845649202961724</v>
      </c>
      <c r="F417" s="44">
        <f t="shared" si="6"/>
        <v>7.0003565740390172</v>
      </c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</row>
    <row r="418" spans="1:45" s="13" customFormat="1">
      <c r="A418" s="24" t="s">
        <v>34</v>
      </c>
      <c r="B418" s="42">
        <v>2.4</v>
      </c>
      <c r="C418" s="52">
        <v>0.50190000000000001</v>
      </c>
      <c r="D418" s="41">
        <v>64.619212249718856</v>
      </c>
      <c r="E418" s="41">
        <v>27.64579640670533</v>
      </c>
      <c r="F418" s="44">
        <f t="shared" si="6"/>
        <v>7.734991343575814</v>
      </c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</row>
    <row r="419" spans="1:45" s="13" customFormat="1">
      <c r="A419" s="24" t="s">
        <v>35</v>
      </c>
      <c r="B419" s="42">
        <v>0</v>
      </c>
      <c r="C419" s="52">
        <v>0.5</v>
      </c>
      <c r="D419" s="41">
        <v>63.689322672839666</v>
      </c>
      <c r="E419" s="41">
        <v>30.246457612985495</v>
      </c>
      <c r="F419" s="44">
        <f t="shared" si="6"/>
        <v>6.0642197141748397</v>
      </c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</row>
    <row r="420" spans="1:45" s="12" customFormat="1">
      <c r="A420" s="23">
        <v>571</v>
      </c>
      <c r="B420" s="42">
        <v>3.4</v>
      </c>
      <c r="C420" s="43">
        <v>0.498</v>
      </c>
      <c r="D420" s="41">
        <v>16.659048518532714</v>
      </c>
      <c r="E420" s="41">
        <v>50.940805371358181</v>
      </c>
      <c r="F420" s="44">
        <f t="shared" si="6"/>
        <v>32.400146110109105</v>
      </c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</row>
    <row r="421" spans="1:45" s="12" customFormat="1">
      <c r="A421" s="23">
        <v>572</v>
      </c>
      <c r="B421" s="42">
        <v>3.2</v>
      </c>
      <c r="C421" s="43">
        <v>0.44600000000000001</v>
      </c>
      <c r="D421" s="41">
        <v>16.730958556022742</v>
      </c>
      <c r="E421" s="41">
        <v>50.203108995200211</v>
      </c>
      <c r="F421" s="44">
        <f t="shared" si="6"/>
        <v>33.065932448777048</v>
      </c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</row>
    <row r="422" spans="1:45" s="13" customFormat="1">
      <c r="A422" s="21" t="s">
        <v>36</v>
      </c>
      <c r="B422" s="42">
        <v>2.2999999999999998</v>
      </c>
      <c r="C422" s="43">
        <v>0.45700000000000002</v>
      </c>
      <c r="D422" s="41">
        <v>22.508324568717111</v>
      </c>
      <c r="E422" s="41">
        <v>51.341379681356599</v>
      </c>
      <c r="F422" s="44">
        <f t="shared" si="6"/>
        <v>26.150295749926286</v>
      </c>
      <c r="G422" s="35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</row>
    <row r="423" spans="1:45" s="13" customFormat="1">
      <c r="A423" s="24" t="s">
        <v>37</v>
      </c>
      <c r="B423" s="42">
        <v>2.4</v>
      </c>
      <c r="C423" s="52">
        <v>0.45300000000000001</v>
      </c>
      <c r="D423" s="41">
        <v>9.7737796241258277</v>
      </c>
      <c r="E423" s="41">
        <v>63.326999803786926</v>
      </c>
      <c r="F423" s="44">
        <f t="shared" si="6"/>
        <v>26.899220572087252</v>
      </c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</row>
    <row r="424" spans="1:45" s="12" customFormat="1">
      <c r="A424" s="23">
        <v>576</v>
      </c>
      <c r="B424" s="42">
        <v>2.2000000000000002</v>
      </c>
      <c r="C424" s="43">
        <v>0.44900000000000001</v>
      </c>
      <c r="D424" s="41">
        <v>10.615128559202223</v>
      </c>
      <c r="E424" s="41">
        <v>66.300988212800348</v>
      </c>
      <c r="F424" s="44">
        <f t="shared" si="6"/>
        <v>23.083883227997433</v>
      </c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</row>
    <row r="425" spans="1:45" s="13" customFormat="1">
      <c r="A425" s="21" t="s">
        <v>38</v>
      </c>
      <c r="B425" s="42">
        <v>1</v>
      </c>
      <c r="C425" s="43">
        <v>0.39800000000000002</v>
      </c>
      <c r="D425" s="41">
        <v>16.118568694613256</v>
      </c>
      <c r="E425" s="41">
        <v>62.201529954960947</v>
      </c>
      <c r="F425" s="44">
        <f t="shared" si="6"/>
        <v>21.679901350425794</v>
      </c>
      <c r="G425" s="35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</row>
    <row r="426" spans="1:45" s="13" customFormat="1">
      <c r="A426" s="24" t="s">
        <v>39</v>
      </c>
      <c r="B426" s="42">
        <v>0</v>
      </c>
      <c r="C426" s="52">
        <v>0.48899999999999999</v>
      </c>
      <c r="D426" s="41">
        <v>12.137910963280865</v>
      </c>
      <c r="E426" s="41">
        <v>66.369779813861427</v>
      </c>
      <c r="F426" s="44">
        <f t="shared" si="6"/>
        <v>21.492309222857713</v>
      </c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</row>
    <row r="427" spans="1:45" s="13" customFormat="1">
      <c r="A427" s="24" t="s">
        <v>40</v>
      </c>
      <c r="B427" s="42">
        <v>3.2</v>
      </c>
      <c r="C427" s="52">
        <v>0.42599999999999999</v>
      </c>
      <c r="D427" s="41">
        <v>11.376261161407912</v>
      </c>
      <c r="E427" s="41">
        <v>62.980944967661927</v>
      </c>
      <c r="F427" s="44">
        <f t="shared" si="6"/>
        <v>25.642793870930163</v>
      </c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</row>
    <row r="428" spans="1:45" s="13" customFormat="1">
      <c r="A428" s="24" t="s">
        <v>41</v>
      </c>
      <c r="B428" s="42">
        <v>2.4</v>
      </c>
      <c r="C428" s="52">
        <v>0.42199999999999999</v>
      </c>
      <c r="D428" s="41">
        <v>13.610038070156774</v>
      </c>
      <c r="E428" s="41">
        <v>62.246352569417056</v>
      </c>
      <c r="F428" s="44">
        <f t="shared" si="6"/>
        <v>24.143609360426169</v>
      </c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</row>
    <row r="429" spans="1:45" s="12" customFormat="1">
      <c r="A429" s="23">
        <v>581</v>
      </c>
      <c r="B429" s="42">
        <v>1.4</v>
      </c>
      <c r="C429" s="43">
        <v>0.45500000000000002</v>
      </c>
      <c r="D429" s="41">
        <v>16.554866883221596</v>
      </c>
      <c r="E429" s="41">
        <v>58.42239245959955</v>
      </c>
      <c r="F429" s="44">
        <f t="shared" si="6"/>
        <v>25.022740657178858</v>
      </c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</row>
    <row r="430" spans="1:45" s="12" customFormat="1">
      <c r="A430" s="23">
        <v>582</v>
      </c>
      <c r="B430" s="42">
        <v>0</v>
      </c>
      <c r="C430" s="43">
        <v>0.45800000000000002</v>
      </c>
      <c r="D430" s="41">
        <v>12.843119797684304</v>
      </c>
      <c r="E430" s="41">
        <v>60.307092177236989</v>
      </c>
      <c r="F430" s="44">
        <f t="shared" si="6"/>
        <v>26.849788025078702</v>
      </c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</row>
    <row r="431" spans="1:45" s="12" customFormat="1">
      <c r="A431" s="23">
        <v>583</v>
      </c>
      <c r="B431" s="42">
        <v>2.1</v>
      </c>
      <c r="C431" s="43">
        <v>0.48899999999999999</v>
      </c>
      <c r="D431" s="41">
        <v>9.0698328190606325</v>
      </c>
      <c r="E431" s="41">
        <v>42.346544907981354</v>
      </c>
      <c r="F431" s="44">
        <f t="shared" si="6"/>
        <v>48.58362227295801</v>
      </c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</row>
    <row r="432" spans="1:45" s="12" customFormat="1">
      <c r="A432" s="23">
        <v>584</v>
      </c>
      <c r="B432" s="42">
        <v>1.6</v>
      </c>
      <c r="C432" s="43">
        <v>0.47399999999999998</v>
      </c>
      <c r="D432" s="41">
        <v>12.559761002123937</v>
      </c>
      <c r="E432" s="41">
        <v>41.900045148968061</v>
      </c>
      <c r="F432" s="44">
        <f t="shared" si="6"/>
        <v>45.540193848908004</v>
      </c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</row>
    <row r="433" spans="1:45" s="12" customFormat="1">
      <c r="A433" s="23">
        <v>585</v>
      </c>
      <c r="B433" s="42">
        <v>0.8</v>
      </c>
      <c r="C433" s="43">
        <v>0.48899999999999999</v>
      </c>
      <c r="D433" s="41">
        <v>13.362016546916097</v>
      </c>
      <c r="E433" s="41">
        <v>45.626293271058373</v>
      </c>
      <c r="F433" s="44">
        <f t="shared" si="6"/>
        <v>41.011690182025532</v>
      </c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</row>
    <row r="434" spans="1:45" s="12" customFormat="1">
      <c r="A434" s="23">
        <v>586</v>
      </c>
      <c r="B434" s="42">
        <v>0</v>
      </c>
      <c r="C434" s="43">
        <v>0.42599999999999999</v>
      </c>
      <c r="D434" s="41">
        <v>7.4462996169225013</v>
      </c>
      <c r="E434" s="41">
        <v>41.782268428995991</v>
      </c>
      <c r="F434" s="44">
        <f t="shared" si="6"/>
        <v>50.771431954081507</v>
      </c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</row>
    <row r="435" spans="1:45" s="12" customFormat="1">
      <c r="A435" s="23">
        <v>587</v>
      </c>
      <c r="B435" s="42">
        <v>2.6</v>
      </c>
      <c r="C435" s="43">
        <v>0.48499999999999999</v>
      </c>
      <c r="D435" s="41">
        <v>13.028967531391281</v>
      </c>
      <c r="E435" s="41">
        <v>55.448071386628222</v>
      </c>
      <c r="F435" s="44">
        <f t="shared" si="6"/>
        <v>31.52296108198049</v>
      </c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</row>
    <row r="436" spans="1:45" s="12" customFormat="1">
      <c r="A436" s="23">
        <v>588</v>
      </c>
      <c r="B436" s="42">
        <v>2</v>
      </c>
      <c r="C436" s="43">
        <v>0.48899999999999999</v>
      </c>
      <c r="D436" s="41">
        <v>14.7225552444713</v>
      </c>
      <c r="E436" s="41">
        <v>57.992202315357609</v>
      </c>
      <c r="F436" s="44">
        <f t="shared" si="6"/>
        <v>27.285242440171096</v>
      </c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</row>
    <row r="437" spans="1:45" s="13" customFormat="1">
      <c r="A437" s="21" t="s">
        <v>42</v>
      </c>
      <c r="B437" s="42">
        <v>1.7</v>
      </c>
      <c r="C437" s="43">
        <v>0.53600000000000003</v>
      </c>
      <c r="D437" s="41">
        <v>17.269331050120488</v>
      </c>
      <c r="E437" s="41">
        <v>57.551346323751787</v>
      </c>
      <c r="F437" s="44">
        <f t="shared" si="6"/>
        <v>25.179322626127728</v>
      </c>
      <c r="G437" s="35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</row>
    <row r="438" spans="1:45" s="13" customFormat="1">
      <c r="A438" s="24" t="s">
        <v>43</v>
      </c>
      <c r="B438" s="42">
        <v>0</v>
      </c>
      <c r="C438" s="52">
        <v>0.5</v>
      </c>
      <c r="D438" s="41">
        <v>12.672109371182291</v>
      </c>
      <c r="E438" s="41">
        <v>59.89814967882883</v>
      </c>
      <c r="F438" s="44">
        <f t="shared" si="6"/>
        <v>27.429740949988883</v>
      </c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</row>
    <row r="439" spans="1:45" s="12" customFormat="1">
      <c r="A439" s="23">
        <v>591</v>
      </c>
      <c r="B439" s="42">
        <v>2.8</v>
      </c>
      <c r="C439" s="43">
        <v>0.44</v>
      </c>
      <c r="D439" s="41">
        <v>13.394363080419652</v>
      </c>
      <c r="E439" s="41">
        <v>56.843117349471939</v>
      </c>
      <c r="F439" s="44">
        <f t="shared" si="6"/>
        <v>29.76251957010841</v>
      </c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</row>
    <row r="440" spans="1:45" s="12" customFormat="1">
      <c r="A440" s="23">
        <v>592</v>
      </c>
      <c r="B440" s="42">
        <v>2.1</v>
      </c>
      <c r="C440" s="43">
        <v>0.52400000000000002</v>
      </c>
      <c r="D440" s="41">
        <v>14.479291460484367</v>
      </c>
      <c r="E440" s="41">
        <v>61.518124694554523</v>
      </c>
      <c r="F440" s="44">
        <f t="shared" si="6"/>
        <v>24.002583844961116</v>
      </c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</row>
    <row r="441" spans="1:45" s="12" customFormat="1">
      <c r="A441" s="23">
        <v>593</v>
      </c>
      <c r="B441" s="42">
        <v>0.7</v>
      </c>
      <c r="C441" s="43">
        <v>0.48</v>
      </c>
      <c r="D441" s="41">
        <v>11.155623433769087</v>
      </c>
      <c r="E441" s="41">
        <v>58.851690681460788</v>
      </c>
      <c r="F441" s="44">
        <f t="shared" si="6"/>
        <v>29.992685884770133</v>
      </c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</row>
    <row r="442" spans="1:45" s="13" customFormat="1">
      <c r="A442" s="21" t="s">
        <v>44</v>
      </c>
      <c r="B442" s="42">
        <v>0</v>
      </c>
      <c r="C442" s="43">
        <v>0.442</v>
      </c>
      <c r="D442" s="41">
        <v>5.3861953351668257</v>
      </c>
      <c r="E442" s="41">
        <v>63.91666074463226</v>
      </c>
      <c r="F442" s="44">
        <f t="shared" si="6"/>
        <v>30.697143920200908</v>
      </c>
      <c r="G442" s="35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</row>
    <row r="443" spans="1:45" s="12" customFormat="1">
      <c r="A443" s="23">
        <v>595</v>
      </c>
      <c r="B443" s="42">
        <v>0.7</v>
      </c>
      <c r="C443" s="43">
        <v>0.41499999999999998</v>
      </c>
      <c r="D443" s="41">
        <v>6.7014610097867263E-4</v>
      </c>
      <c r="E443" s="41">
        <v>5.0733378852186508</v>
      </c>
      <c r="F443" s="44">
        <f t="shared" si="6"/>
        <v>94.925991968680378</v>
      </c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</row>
    <row r="444" spans="1:45" s="12" customFormat="1">
      <c r="A444" s="23">
        <v>597</v>
      </c>
      <c r="B444" s="42">
        <v>3</v>
      </c>
      <c r="C444" s="43">
        <v>0.436</v>
      </c>
      <c r="D444" s="41">
        <v>34.301065699733968</v>
      </c>
      <c r="E444" s="41">
        <v>40.357564337683485</v>
      </c>
      <c r="F444" s="44">
        <f t="shared" si="6"/>
        <v>25.341369962582547</v>
      </c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</row>
    <row r="445" spans="1:45" s="12" customFormat="1">
      <c r="A445" s="23">
        <v>598</v>
      </c>
      <c r="B445" s="42">
        <v>2.7</v>
      </c>
      <c r="C445" s="43">
        <v>0.46500000000000002</v>
      </c>
      <c r="D445" s="41">
        <v>33.623394637502209</v>
      </c>
      <c r="E445" s="41">
        <v>42.874686616491665</v>
      </c>
      <c r="F445" s="44">
        <f t="shared" si="6"/>
        <v>23.501918746006133</v>
      </c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</row>
    <row r="446" spans="1:45" s="13" customFormat="1">
      <c r="A446" s="21" t="s">
        <v>45</v>
      </c>
      <c r="B446" s="42">
        <v>1.6</v>
      </c>
      <c r="C446" s="43">
        <v>0.42499999999999999</v>
      </c>
      <c r="D446" s="41">
        <v>30.867187141364148</v>
      </c>
      <c r="E446" s="41">
        <v>45.040678571179889</v>
      </c>
      <c r="F446" s="44">
        <f t="shared" si="6"/>
        <v>24.092134287455956</v>
      </c>
      <c r="G446" s="35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</row>
    <row r="447" spans="1:45" s="12" customFormat="1">
      <c r="A447" s="23">
        <v>613</v>
      </c>
      <c r="B447" s="42">
        <v>2</v>
      </c>
      <c r="C447" s="43">
        <v>0.44</v>
      </c>
      <c r="D447" s="41">
        <v>8.5301026473741697</v>
      </c>
      <c r="E447" s="41">
        <v>52.979322026346821</v>
      </c>
      <c r="F447" s="44">
        <f t="shared" si="6"/>
        <v>38.490575326279014</v>
      </c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</row>
    <row r="448" spans="1:45" s="12" customFormat="1">
      <c r="A448" s="23">
        <v>614</v>
      </c>
      <c r="B448" s="42">
        <v>2.2999999999999998</v>
      </c>
      <c r="C448" s="43">
        <v>0.42099999999999999</v>
      </c>
      <c r="D448" s="41">
        <v>8.090128070285953</v>
      </c>
      <c r="E448" s="41">
        <v>51.100968004263464</v>
      </c>
      <c r="F448" s="44">
        <f t="shared" si="6"/>
        <v>40.808903925450579</v>
      </c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</row>
    <row r="449" spans="1:45" s="12" customFormat="1">
      <c r="A449" s="23">
        <v>615</v>
      </c>
      <c r="B449" s="42">
        <v>2.2999999999999998</v>
      </c>
      <c r="C449" s="43">
        <v>0.44700000000000001</v>
      </c>
      <c r="D449" s="41">
        <v>8.0073800618629463</v>
      </c>
      <c r="E449" s="41">
        <v>58.658417123097365</v>
      </c>
      <c r="F449" s="44">
        <f t="shared" si="6"/>
        <v>33.334202815039689</v>
      </c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</row>
    <row r="450" spans="1:45" s="13" customFormat="1">
      <c r="A450" s="21" t="s">
        <v>46</v>
      </c>
      <c r="B450" s="42">
        <v>1.6</v>
      </c>
      <c r="C450" s="43">
        <v>0.46200000000000002</v>
      </c>
      <c r="D450" s="41">
        <v>9.4327457741588958</v>
      </c>
      <c r="E450" s="41">
        <v>51.493536064857011</v>
      </c>
      <c r="F450" s="44">
        <f t="shared" si="6"/>
        <v>39.0737181609841</v>
      </c>
      <c r="G450" s="35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</row>
    <row r="451" spans="1:45" s="12" customFormat="1">
      <c r="A451" s="23">
        <v>617</v>
      </c>
      <c r="B451" s="42">
        <v>1.5</v>
      </c>
      <c r="C451" s="43">
        <v>0.50900000000000001</v>
      </c>
      <c r="D451" s="41">
        <v>11.795309795062673</v>
      </c>
      <c r="E451" s="41">
        <v>53.287281653816528</v>
      </c>
      <c r="F451" s="44">
        <f t="shared" si="6"/>
        <v>34.917408551120793</v>
      </c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</row>
    <row r="452" spans="1:45" s="12" customFormat="1">
      <c r="A452" s="23">
        <v>618</v>
      </c>
      <c r="B452" s="42">
        <v>0</v>
      </c>
      <c r="C452" s="43">
        <v>0.505</v>
      </c>
      <c r="D452" s="41">
        <v>9.1991243600652215</v>
      </c>
      <c r="E452" s="41">
        <v>54.555704595442414</v>
      </c>
      <c r="F452" s="44">
        <f t="shared" si="6"/>
        <v>36.245171044492359</v>
      </c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</row>
    <row r="453" spans="1:45" s="12" customFormat="1">
      <c r="A453" s="23">
        <v>619</v>
      </c>
      <c r="B453" s="42">
        <v>3.8</v>
      </c>
      <c r="C453" s="43">
        <v>0.57799999999999996</v>
      </c>
      <c r="D453" s="41">
        <v>15.104838021304815</v>
      </c>
      <c r="E453" s="41">
        <v>55.76116993354772</v>
      </c>
      <c r="F453" s="44">
        <f t="shared" ref="F453:F516" si="7">100-D453-E453</f>
        <v>29.133992045147465</v>
      </c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</row>
    <row r="454" spans="1:45" s="12" customFormat="1">
      <c r="A454" s="23">
        <v>620</v>
      </c>
      <c r="B454" s="42">
        <v>3.5</v>
      </c>
      <c r="C454" s="43">
        <v>0.42899999999999999</v>
      </c>
      <c r="D454" s="41">
        <v>18.028267696172126</v>
      </c>
      <c r="E454" s="41">
        <v>55.054179709194386</v>
      </c>
      <c r="F454" s="44">
        <f t="shared" si="7"/>
        <v>26.917552594633491</v>
      </c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</row>
    <row r="455" spans="1:45" s="12" customFormat="1">
      <c r="A455" s="23">
        <v>621</v>
      </c>
      <c r="B455" s="42">
        <v>2.4</v>
      </c>
      <c r="C455" s="43">
        <v>0.505</v>
      </c>
      <c r="D455" s="41">
        <v>19.270404985896818</v>
      </c>
      <c r="E455" s="41">
        <v>55.27567414169603</v>
      </c>
      <c r="F455" s="44">
        <f t="shared" si="7"/>
        <v>25.453920872407153</v>
      </c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</row>
    <row r="456" spans="1:45" s="12" customFormat="1">
      <c r="A456" s="23">
        <v>622</v>
      </c>
      <c r="B456" s="42">
        <v>0</v>
      </c>
      <c r="C456" s="43">
        <v>0.47599999999999998</v>
      </c>
      <c r="D456" s="41">
        <v>16.937539259056308</v>
      </c>
      <c r="E456" s="41">
        <v>53.312105752497786</v>
      </c>
      <c r="F456" s="44">
        <f t="shared" si="7"/>
        <v>29.750354988445906</v>
      </c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</row>
    <row r="457" spans="1:45" s="12" customFormat="1">
      <c r="A457" s="23">
        <v>623</v>
      </c>
      <c r="B457" s="42">
        <v>0</v>
      </c>
      <c r="C457" s="43">
        <v>0.46200000000000002</v>
      </c>
      <c r="D457" s="41">
        <v>11.776431660771214</v>
      </c>
      <c r="E457" s="41">
        <v>54.084147531294001</v>
      </c>
      <c r="F457" s="44">
        <f t="shared" si="7"/>
        <v>34.139420807934791</v>
      </c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</row>
    <row r="458" spans="1:45" s="12" customFormat="1">
      <c r="A458" s="23">
        <v>624</v>
      </c>
      <c r="B458" s="42">
        <v>4.2</v>
      </c>
      <c r="C458" s="43">
        <v>0.45400000000000001</v>
      </c>
      <c r="D458" s="41">
        <v>19.073266382038948</v>
      </c>
      <c r="E458" s="41">
        <v>59.768903918157619</v>
      </c>
      <c r="F458" s="44">
        <f t="shared" si="7"/>
        <v>21.157829699803429</v>
      </c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</row>
    <row r="459" spans="1:45" s="12" customFormat="1">
      <c r="A459" s="23">
        <v>625</v>
      </c>
      <c r="B459" s="42">
        <v>3.7</v>
      </c>
      <c r="C459" s="43">
        <v>0.46899999999999997</v>
      </c>
      <c r="D459" s="41">
        <v>18.77421453000802</v>
      </c>
      <c r="E459" s="41">
        <v>57.961681508395202</v>
      </c>
      <c r="F459" s="44">
        <f t="shared" si="7"/>
        <v>23.264103961596774</v>
      </c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</row>
    <row r="460" spans="1:45" s="12" customFormat="1">
      <c r="A460" s="23">
        <v>626</v>
      </c>
      <c r="B460" s="42">
        <v>2.5</v>
      </c>
      <c r="C460" s="43">
        <v>0.51600000000000001</v>
      </c>
      <c r="D460" s="41">
        <v>19.634438225901654</v>
      </c>
      <c r="E460" s="41">
        <v>58.499094095466042</v>
      </c>
      <c r="F460" s="44">
        <f t="shared" si="7"/>
        <v>21.866467678632311</v>
      </c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</row>
    <row r="461" spans="1:45" s="12" customFormat="1">
      <c r="A461" s="23">
        <v>627</v>
      </c>
      <c r="B461" s="42">
        <v>0</v>
      </c>
      <c r="C461" s="43">
        <v>0.51600000000000001</v>
      </c>
      <c r="D461" s="41">
        <v>19.454672156358374</v>
      </c>
      <c r="E461" s="41">
        <v>59.508095613438897</v>
      </c>
      <c r="F461" s="44">
        <f t="shared" si="7"/>
        <v>21.037232230202733</v>
      </c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</row>
    <row r="462" spans="1:45" s="12" customFormat="1">
      <c r="A462" s="23">
        <v>628</v>
      </c>
      <c r="B462" s="42">
        <v>0</v>
      </c>
      <c r="C462" s="43">
        <v>0.47599999999999998</v>
      </c>
      <c r="D462" s="41">
        <v>16.736708923374213</v>
      </c>
      <c r="E462" s="41">
        <v>57.831062807771389</v>
      </c>
      <c r="F462" s="44">
        <f t="shared" si="7"/>
        <v>25.432228268854402</v>
      </c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</row>
    <row r="463" spans="1:45" s="12" customFormat="1">
      <c r="A463" s="23">
        <v>630</v>
      </c>
      <c r="B463" s="42">
        <v>3.7</v>
      </c>
      <c r="C463" s="43">
        <v>0.46300000000000002</v>
      </c>
      <c r="D463" s="41">
        <v>23.88743158245784</v>
      </c>
      <c r="E463" s="41">
        <v>48.491821105042121</v>
      </c>
      <c r="F463" s="44">
        <f t="shared" si="7"/>
        <v>27.620747312500043</v>
      </c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</row>
    <row r="464" spans="1:45" s="12" customFormat="1">
      <c r="A464" s="23">
        <v>631</v>
      </c>
      <c r="B464" s="42">
        <v>1.6</v>
      </c>
      <c r="C464" s="43">
        <v>0.48499999999999999</v>
      </c>
      <c r="D464" s="41">
        <v>26.03334305131574</v>
      </c>
      <c r="E464" s="41">
        <v>46.935079831296193</v>
      </c>
      <c r="F464" s="44">
        <f t="shared" si="7"/>
        <v>27.031577117388068</v>
      </c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</row>
    <row r="465" spans="1:45" s="12" customFormat="1">
      <c r="A465" s="23">
        <v>632</v>
      </c>
      <c r="B465" s="42">
        <v>0</v>
      </c>
      <c r="C465" s="43">
        <v>0.45600000000000002</v>
      </c>
      <c r="D465" s="41">
        <v>23.080100254109038</v>
      </c>
      <c r="E465" s="41">
        <v>48.085358066851754</v>
      </c>
      <c r="F465" s="44">
        <f t="shared" si="7"/>
        <v>28.834541679039205</v>
      </c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</row>
    <row r="466" spans="1:45" s="12" customFormat="1">
      <c r="A466" s="23">
        <v>633</v>
      </c>
      <c r="B466" s="42">
        <v>0</v>
      </c>
      <c r="C466" s="43">
        <v>0.47799999999999998</v>
      </c>
      <c r="D466" s="41">
        <v>13.589998730637618</v>
      </c>
      <c r="E466" s="41">
        <v>51.122305638593247</v>
      </c>
      <c r="F466" s="44">
        <f t="shared" si="7"/>
        <v>35.287695630769136</v>
      </c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</row>
    <row r="467" spans="1:45" s="12" customFormat="1">
      <c r="A467" s="23">
        <v>634</v>
      </c>
      <c r="B467" s="42">
        <v>3.9</v>
      </c>
      <c r="C467" s="43">
        <v>0.44500000000000001</v>
      </c>
      <c r="D467" s="41">
        <v>18.007457155699893</v>
      </c>
      <c r="E467" s="41">
        <v>49.631036793874713</v>
      </c>
      <c r="F467" s="44">
        <f t="shared" si="7"/>
        <v>32.36150605042539</v>
      </c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</row>
    <row r="468" spans="1:45" s="12" customFormat="1">
      <c r="A468" s="23">
        <v>635</v>
      </c>
      <c r="B468" s="42">
        <v>2.9</v>
      </c>
      <c r="C468" s="43">
        <v>0.52600000000000002</v>
      </c>
      <c r="D468" s="41">
        <v>19.077686945821178</v>
      </c>
      <c r="E468" s="41">
        <v>55.226134136184278</v>
      </c>
      <c r="F468" s="44">
        <f t="shared" si="7"/>
        <v>25.696178917994551</v>
      </c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</row>
    <row r="469" spans="1:45" s="12" customFormat="1">
      <c r="A469" s="23">
        <v>636</v>
      </c>
      <c r="B469" s="42">
        <v>1.3</v>
      </c>
      <c r="C469" s="43">
        <v>0.53600000000000003</v>
      </c>
      <c r="D469" s="41">
        <v>18.509662460805266</v>
      </c>
      <c r="E469" s="41">
        <v>57.393789637434928</v>
      </c>
      <c r="F469" s="44">
        <f t="shared" si="7"/>
        <v>24.096547901759813</v>
      </c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</row>
    <row r="470" spans="1:45" s="12" customFormat="1">
      <c r="A470" s="23">
        <v>637</v>
      </c>
      <c r="B470" s="42">
        <v>0</v>
      </c>
      <c r="C470" s="43">
        <v>0.52900000000000003</v>
      </c>
      <c r="D470" s="41">
        <v>13.901113186786047</v>
      </c>
      <c r="E470" s="41">
        <v>57.075304824867075</v>
      </c>
      <c r="F470" s="44">
        <f t="shared" si="7"/>
        <v>29.023581988346876</v>
      </c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</row>
    <row r="471" spans="1:45" s="12" customFormat="1">
      <c r="A471" s="23">
        <v>638</v>
      </c>
      <c r="B471" s="42">
        <v>2.2000000000000002</v>
      </c>
      <c r="C471" s="43">
        <v>0.37</v>
      </c>
      <c r="D471" s="41">
        <v>13.648358993417119</v>
      </c>
      <c r="E471" s="41">
        <v>43.910441081710694</v>
      </c>
      <c r="F471" s="44">
        <f t="shared" si="7"/>
        <v>42.441199924872187</v>
      </c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</row>
    <row r="472" spans="1:45" s="12" customFormat="1">
      <c r="A472" s="23">
        <v>639</v>
      </c>
      <c r="B472" s="42">
        <v>2.2999999999999998</v>
      </c>
      <c r="C472" s="43">
        <v>0.37</v>
      </c>
      <c r="D472" s="41">
        <v>13.826035901418546</v>
      </c>
      <c r="E472" s="41">
        <v>42.208471077922795</v>
      </c>
      <c r="F472" s="44">
        <f t="shared" si="7"/>
        <v>43.965493020658656</v>
      </c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</row>
    <row r="473" spans="1:45" s="12" customFormat="1">
      <c r="A473" s="23">
        <v>640</v>
      </c>
      <c r="B473" s="42">
        <v>1.9</v>
      </c>
      <c r="C473" s="43">
        <v>0.47599999999999998</v>
      </c>
      <c r="D473" s="41">
        <v>16.814985984854466</v>
      </c>
      <c r="E473" s="41">
        <v>42.176562348446538</v>
      </c>
      <c r="F473" s="44">
        <f t="shared" si="7"/>
        <v>41.008451666698988</v>
      </c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</row>
    <row r="474" spans="1:45" s="12" customFormat="1">
      <c r="A474" s="23">
        <v>641</v>
      </c>
      <c r="B474" s="42">
        <v>0</v>
      </c>
      <c r="C474" s="43">
        <v>0.55800000000000005</v>
      </c>
      <c r="D474" s="41">
        <v>43.937385141290271</v>
      </c>
      <c r="E474" s="41">
        <v>53.177203541675404</v>
      </c>
      <c r="F474" s="44">
        <f t="shared" si="7"/>
        <v>2.8854113170343254</v>
      </c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</row>
    <row r="475" spans="1:45" s="12" customFormat="1">
      <c r="A475" s="23">
        <v>642</v>
      </c>
      <c r="B475" s="42">
        <v>0</v>
      </c>
      <c r="C475" s="43">
        <v>0.52500000000000002</v>
      </c>
      <c r="D475" s="41">
        <v>48.190683747740799</v>
      </c>
      <c r="E475" s="41">
        <v>48.248644775174164</v>
      </c>
      <c r="F475" s="44">
        <f t="shared" si="7"/>
        <v>3.5606714770850374</v>
      </c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</row>
    <row r="476" spans="1:45" s="12" customFormat="1">
      <c r="A476" s="23">
        <v>643</v>
      </c>
      <c r="B476" s="42">
        <v>0</v>
      </c>
      <c r="C476" s="43">
        <v>0.52900000000000003</v>
      </c>
      <c r="D476" s="41">
        <v>50.935923375788065</v>
      </c>
      <c r="E476" s="41">
        <v>46.267798351727421</v>
      </c>
      <c r="F476" s="44">
        <f t="shared" si="7"/>
        <v>2.7962782724845141</v>
      </c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</row>
    <row r="477" spans="1:45" s="12" customFormat="1">
      <c r="A477" s="23">
        <v>644</v>
      </c>
      <c r="B477" s="42">
        <v>0</v>
      </c>
      <c r="C477" s="43">
        <v>0.439</v>
      </c>
      <c r="D477" s="41">
        <v>32.372127974042826</v>
      </c>
      <c r="E477" s="41">
        <v>55.32256472497194</v>
      </c>
      <c r="F477" s="44">
        <f t="shared" si="7"/>
        <v>12.305307300985234</v>
      </c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</row>
    <row r="478" spans="1:45" s="13" customFormat="1">
      <c r="A478" s="21" t="s">
        <v>47</v>
      </c>
      <c r="B478" s="42">
        <v>0</v>
      </c>
      <c r="C478" s="43">
        <v>0.38500000000000001</v>
      </c>
      <c r="D478" s="41">
        <v>44.621672147903041</v>
      </c>
      <c r="E478" s="41">
        <v>46.514175653265823</v>
      </c>
      <c r="F478" s="44">
        <f t="shared" si="7"/>
        <v>8.8641521988311354</v>
      </c>
      <c r="G478" s="35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</row>
    <row r="479" spans="1:45" s="12" customFormat="1">
      <c r="A479" s="23">
        <v>646</v>
      </c>
      <c r="B479" s="42">
        <v>0</v>
      </c>
      <c r="C479" s="43">
        <v>0.439</v>
      </c>
      <c r="D479" s="41">
        <v>39.423380947423396</v>
      </c>
      <c r="E479" s="41">
        <v>50.568499606212271</v>
      </c>
      <c r="F479" s="44">
        <f t="shared" si="7"/>
        <v>10.008119446364333</v>
      </c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</row>
    <row r="480" spans="1:45" s="10" customFormat="1">
      <c r="A480" s="20">
        <v>649</v>
      </c>
      <c r="B480" s="42">
        <v>0</v>
      </c>
      <c r="C480" s="43">
        <v>0.38900000000000001</v>
      </c>
      <c r="D480" s="41">
        <v>16.538278138966014</v>
      </c>
      <c r="E480" s="41">
        <v>31.880089840508525</v>
      </c>
      <c r="F480" s="44">
        <f t="shared" si="7"/>
        <v>51.581632020525468</v>
      </c>
      <c r="G480" s="7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</row>
    <row r="481" spans="1:45" s="10" customFormat="1">
      <c r="A481" s="20">
        <v>650</v>
      </c>
      <c r="B481" s="42">
        <v>3.2</v>
      </c>
      <c r="C481" s="43">
        <v>0.46300000000000002</v>
      </c>
      <c r="D481" s="41">
        <v>1.560963597107635E-2</v>
      </c>
      <c r="E481" s="41">
        <v>7.7016703958956079</v>
      </c>
      <c r="F481" s="44">
        <f t="shared" si="7"/>
        <v>92.282719968133321</v>
      </c>
      <c r="G481" s="7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</row>
    <row r="482" spans="1:45" s="10" customFormat="1">
      <c r="A482" s="20">
        <v>651</v>
      </c>
      <c r="B482" s="42">
        <v>2.2999999999999998</v>
      </c>
      <c r="C482" s="43">
        <v>0.43</v>
      </c>
      <c r="D482" s="41">
        <v>0.98779858842815305</v>
      </c>
      <c r="E482" s="41">
        <v>27.750123064789939</v>
      </c>
      <c r="F482" s="44">
        <f t="shared" si="7"/>
        <v>71.262078346781919</v>
      </c>
      <c r="G482" s="7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</row>
    <row r="483" spans="1:45" s="10" customFormat="1">
      <c r="A483" s="20">
        <v>652</v>
      </c>
      <c r="B483" s="42">
        <v>0.1</v>
      </c>
      <c r="C483" s="43">
        <v>0.33500000000000002</v>
      </c>
      <c r="D483" s="41">
        <v>1.1004114280489924E-2</v>
      </c>
      <c r="E483" s="41">
        <v>7.5896058921897129</v>
      </c>
      <c r="F483" s="44">
        <f t="shared" si="7"/>
        <v>92.399389993529795</v>
      </c>
      <c r="G483" s="7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</row>
    <row r="484" spans="1:45" s="10" customFormat="1">
      <c r="A484" s="20">
        <v>653</v>
      </c>
      <c r="B484" s="42">
        <v>0.8</v>
      </c>
      <c r="C484" s="43">
        <v>0.35099999999999998</v>
      </c>
      <c r="D484" s="41">
        <v>3.6014730707209387E-3</v>
      </c>
      <c r="E484" s="41">
        <v>7.115628208894762</v>
      </c>
      <c r="F484" s="44">
        <f t="shared" si="7"/>
        <v>92.880770318034521</v>
      </c>
      <c r="G484" s="7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</row>
    <row r="485" spans="1:45" s="10" customFormat="1">
      <c r="A485" s="20">
        <v>654</v>
      </c>
      <c r="B485" s="42">
        <v>0.7</v>
      </c>
      <c r="C485" s="43">
        <v>0.32100000000000001</v>
      </c>
      <c r="D485" s="41">
        <v>1.2705487107802084E-3</v>
      </c>
      <c r="E485" s="41">
        <v>5.7086480908013808</v>
      </c>
      <c r="F485" s="44">
        <f t="shared" si="7"/>
        <v>94.290081360487846</v>
      </c>
      <c r="G485" s="7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</row>
    <row r="486" spans="1:45" s="10" customFormat="1">
      <c r="A486" s="20">
        <v>655</v>
      </c>
      <c r="B486" s="42">
        <v>0.3</v>
      </c>
      <c r="C486" s="43">
        <v>0.33500000000000002</v>
      </c>
      <c r="D486" s="41">
        <v>4.4239727228141401E-3</v>
      </c>
      <c r="E486" s="41">
        <v>8.7519214780678283</v>
      </c>
      <c r="F486" s="44">
        <f t="shared" si="7"/>
        <v>91.243654549209353</v>
      </c>
      <c r="G486" s="7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</row>
    <row r="487" spans="1:45" s="10" customFormat="1">
      <c r="A487" s="20">
        <v>656</v>
      </c>
      <c r="B487" s="42">
        <v>2.1</v>
      </c>
      <c r="C487" s="43">
        <v>0.35099999999999998</v>
      </c>
      <c r="D487" s="41">
        <v>3.8797508341526081E-3</v>
      </c>
      <c r="E487" s="41">
        <v>8.4823595552788849</v>
      </c>
      <c r="F487" s="44">
        <f t="shared" si="7"/>
        <v>91.513760693886951</v>
      </c>
      <c r="G487" s="7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</row>
    <row r="488" spans="1:45" s="12" customFormat="1">
      <c r="A488" s="20">
        <v>657</v>
      </c>
      <c r="B488" s="42">
        <v>15.3</v>
      </c>
      <c r="C488" s="43">
        <v>0.69299999999999995</v>
      </c>
      <c r="D488" s="41">
        <v>43.740377831621501</v>
      </c>
      <c r="E488" s="41">
        <v>27.563511642002254</v>
      </c>
      <c r="F488" s="44">
        <f t="shared" si="7"/>
        <v>28.696110526376245</v>
      </c>
      <c r="G488" s="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</row>
    <row r="489" spans="1:45" s="10" customFormat="1">
      <c r="A489" s="20">
        <v>658</v>
      </c>
      <c r="B489" s="42">
        <v>1.5</v>
      </c>
      <c r="C489" s="43">
        <v>0.32300000000000001</v>
      </c>
      <c r="D489" s="41">
        <v>0.40670896773947751</v>
      </c>
      <c r="E489" s="41">
        <v>17.964311637714811</v>
      </c>
      <c r="F489" s="44">
        <f t="shared" si="7"/>
        <v>81.628979394545709</v>
      </c>
      <c r="G489" s="7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</row>
    <row r="490" spans="1:45" s="10" customFormat="1">
      <c r="A490" s="20">
        <v>659</v>
      </c>
      <c r="B490" s="42">
        <v>0.4</v>
      </c>
      <c r="C490" s="43">
        <v>0.36299999999999999</v>
      </c>
      <c r="D490" s="41">
        <v>1.4276660727920018E-3</v>
      </c>
      <c r="E490" s="41">
        <v>3.1570692863793677</v>
      </c>
      <c r="F490" s="44">
        <f t="shared" si="7"/>
        <v>96.841503047547846</v>
      </c>
      <c r="G490" s="7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</row>
    <row r="491" spans="1:45" s="10" customFormat="1">
      <c r="A491" s="20">
        <v>660</v>
      </c>
      <c r="B491" s="42">
        <v>6.1</v>
      </c>
      <c r="C491" s="43">
        <v>0.496</v>
      </c>
      <c r="D491" s="41">
        <v>1.2354934174728396</v>
      </c>
      <c r="E491" s="41">
        <v>21.381394179508145</v>
      </c>
      <c r="F491" s="44">
        <f t="shared" si="7"/>
        <v>77.383112403019013</v>
      </c>
      <c r="G491" s="7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</row>
    <row r="492" spans="1:45" s="10" customFormat="1">
      <c r="A492" s="20">
        <v>661</v>
      </c>
      <c r="B492" s="42">
        <v>1.4</v>
      </c>
      <c r="C492" s="43">
        <v>0.35599999999999998</v>
      </c>
      <c r="D492" s="41">
        <v>3.1455781819233557E-3</v>
      </c>
      <c r="E492" s="41">
        <v>4.6624019559652492</v>
      </c>
      <c r="F492" s="44">
        <f t="shared" si="7"/>
        <v>95.33445246585282</v>
      </c>
      <c r="G492" s="7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</row>
    <row r="493" spans="1:45" s="10" customFormat="1">
      <c r="A493" s="20">
        <v>662</v>
      </c>
      <c r="B493" s="42">
        <v>1.4</v>
      </c>
      <c r="C493" s="43">
        <v>0.34100000000000003</v>
      </c>
      <c r="D493" s="41">
        <v>1.709271453255597E-2</v>
      </c>
      <c r="E493" s="41">
        <v>6.8875976930099698</v>
      </c>
      <c r="F493" s="44">
        <f t="shared" si="7"/>
        <v>93.095309592457482</v>
      </c>
      <c r="G493" s="7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</row>
    <row r="494" spans="1:45" s="12" customFormat="1">
      <c r="A494" s="20">
        <v>663</v>
      </c>
      <c r="B494" s="42">
        <v>1.6</v>
      </c>
      <c r="C494" s="43">
        <v>0.42599999999999999</v>
      </c>
      <c r="D494" s="41">
        <v>0.72566892045790499</v>
      </c>
      <c r="E494" s="41">
        <v>44.458426485923745</v>
      </c>
      <c r="F494" s="44">
        <f t="shared" si="7"/>
        <v>54.815904593618349</v>
      </c>
      <c r="G494" s="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</row>
    <row r="495" spans="1:45" s="12" customFormat="1">
      <c r="A495" s="20">
        <v>664</v>
      </c>
      <c r="B495" s="42">
        <v>1.7</v>
      </c>
      <c r="C495" s="43">
        <v>0.38600000000000001</v>
      </c>
      <c r="D495" s="41">
        <v>0.69798756222373304</v>
      </c>
      <c r="E495" s="41">
        <v>43.826215080575722</v>
      </c>
      <c r="F495" s="44">
        <f t="shared" si="7"/>
        <v>55.475797357200548</v>
      </c>
      <c r="G495" s="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</row>
    <row r="496" spans="1:45" s="10" customFormat="1">
      <c r="A496" s="20">
        <v>665</v>
      </c>
      <c r="B496" s="42">
        <v>0.8</v>
      </c>
      <c r="C496" s="43">
        <v>0.39</v>
      </c>
      <c r="D496" s="41">
        <v>0.62365409143179962</v>
      </c>
      <c r="E496" s="41">
        <v>50.406142189083504</v>
      </c>
      <c r="F496" s="44">
        <f t="shared" si="7"/>
        <v>48.970203719484694</v>
      </c>
      <c r="G496" s="7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</row>
    <row r="497" spans="1:45" s="12" customFormat="1">
      <c r="A497" s="20">
        <v>666</v>
      </c>
      <c r="B497" s="42">
        <v>0.7</v>
      </c>
      <c r="C497" s="43">
        <v>0.43099999999999999</v>
      </c>
      <c r="D497" s="41">
        <v>0.38825094935556537</v>
      </c>
      <c r="E497" s="41">
        <v>44.498070192303807</v>
      </c>
      <c r="F497" s="44">
        <f t="shared" si="7"/>
        <v>55.113678858340627</v>
      </c>
      <c r="G497" s="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</row>
    <row r="498" spans="1:45" s="10" customFormat="1">
      <c r="A498" s="20">
        <v>667</v>
      </c>
      <c r="B498" s="42">
        <v>1</v>
      </c>
      <c r="C498" s="43">
        <v>0.47</v>
      </c>
      <c r="D498" s="41">
        <v>2.2643278889091611</v>
      </c>
      <c r="E498" s="41">
        <v>52.130862318821272</v>
      </c>
      <c r="F498" s="44">
        <f t="shared" si="7"/>
        <v>45.604809792269563</v>
      </c>
      <c r="G498" s="7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</row>
    <row r="499" spans="1:45" s="10" customFormat="1">
      <c r="A499" s="20">
        <v>668</v>
      </c>
      <c r="B499" s="42">
        <v>1.6</v>
      </c>
      <c r="C499" s="43">
        <v>0.42199999999999999</v>
      </c>
      <c r="D499" s="41">
        <v>3.3439853888999651</v>
      </c>
      <c r="E499" s="41">
        <v>42.938986325495115</v>
      </c>
      <c r="F499" s="44">
        <f t="shared" si="7"/>
        <v>53.717028285604918</v>
      </c>
      <c r="G499" s="7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</row>
    <row r="500" spans="1:45" s="12" customFormat="1">
      <c r="A500" s="20">
        <v>669</v>
      </c>
      <c r="B500" s="42">
        <v>0.8</v>
      </c>
      <c r="C500" s="43">
        <v>0.442</v>
      </c>
      <c r="D500" s="41">
        <v>2.273763842468802</v>
      </c>
      <c r="E500" s="41">
        <v>48.252489330489986</v>
      </c>
      <c r="F500" s="44">
        <f t="shared" si="7"/>
        <v>49.473746827041218</v>
      </c>
      <c r="G500" s="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</row>
    <row r="501" spans="1:45" s="12" customFormat="1">
      <c r="A501" s="20">
        <v>670</v>
      </c>
      <c r="B501" s="42">
        <v>0.7</v>
      </c>
      <c r="C501" s="43">
        <v>0.45500000000000002</v>
      </c>
      <c r="D501" s="41">
        <v>0.5214313530250595</v>
      </c>
      <c r="E501" s="41">
        <v>42.580450556893496</v>
      </c>
      <c r="F501" s="44">
        <f t="shared" si="7"/>
        <v>56.898118090081439</v>
      </c>
      <c r="G501" s="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</row>
    <row r="502" spans="1:45" s="10" customFormat="1">
      <c r="A502" s="20">
        <v>671</v>
      </c>
      <c r="B502" s="42">
        <v>0.4</v>
      </c>
      <c r="C502" s="43">
        <v>0.432</v>
      </c>
      <c r="D502" s="41">
        <v>2.3105566343484343E-2</v>
      </c>
      <c r="E502" s="41">
        <v>18.484752997721998</v>
      </c>
      <c r="F502" s="44">
        <f t="shared" si="7"/>
        <v>81.492141435934514</v>
      </c>
      <c r="G502" s="7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</row>
    <row r="503" spans="1:45" s="12" customFormat="1">
      <c r="A503" s="20">
        <v>672</v>
      </c>
      <c r="B503" s="42">
        <v>1.9</v>
      </c>
      <c r="C503" s="43">
        <v>0.46899999999999997</v>
      </c>
      <c r="D503" s="41">
        <v>12.173495086345653</v>
      </c>
      <c r="E503" s="41">
        <v>46.691907589844583</v>
      </c>
      <c r="F503" s="44">
        <f t="shared" si="7"/>
        <v>41.134597323809764</v>
      </c>
      <c r="G503" s="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</row>
    <row r="504" spans="1:45" s="12" customFormat="1">
      <c r="A504" s="20">
        <v>673</v>
      </c>
      <c r="B504" s="42">
        <v>1</v>
      </c>
      <c r="C504" s="43">
        <v>0.45500000000000002</v>
      </c>
      <c r="D504" s="41">
        <v>3.8478335346642556</v>
      </c>
      <c r="E504" s="41">
        <v>46.287083984588932</v>
      </c>
      <c r="F504" s="44">
        <f t="shared" si="7"/>
        <v>49.865082480746807</v>
      </c>
      <c r="G504" s="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</row>
    <row r="505" spans="1:45" s="12" customFormat="1">
      <c r="A505" s="20">
        <v>674</v>
      </c>
      <c r="B505" s="42">
        <v>2.1</v>
      </c>
      <c r="C505" s="43">
        <v>0.51100000000000001</v>
      </c>
      <c r="D505" s="41">
        <v>23.830345143518215</v>
      </c>
      <c r="E505" s="41">
        <v>50.159267041026013</v>
      </c>
      <c r="F505" s="44">
        <f t="shared" si="7"/>
        <v>26.010387815455772</v>
      </c>
      <c r="G505" s="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</row>
    <row r="506" spans="1:45" s="12" customFormat="1">
      <c r="A506" s="20">
        <v>675</v>
      </c>
      <c r="B506" s="42">
        <v>1.6</v>
      </c>
      <c r="C506" s="43">
        <v>0.49399999999999999</v>
      </c>
      <c r="D506" s="41">
        <v>44.743481524646263</v>
      </c>
      <c r="E506" s="41">
        <v>41.111315914205655</v>
      </c>
      <c r="F506" s="44">
        <f t="shared" si="7"/>
        <v>14.145202561148082</v>
      </c>
      <c r="G506" s="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</row>
    <row r="507" spans="1:45" s="10" customFormat="1">
      <c r="A507" s="20">
        <v>676</v>
      </c>
      <c r="B507" s="42">
        <v>1.3</v>
      </c>
      <c r="C507" s="43">
        <v>0.496</v>
      </c>
      <c r="D507" s="41">
        <v>37.93194835310144</v>
      </c>
      <c r="E507" s="41">
        <v>44.164029971327047</v>
      </c>
      <c r="F507" s="44">
        <f t="shared" si="7"/>
        <v>17.904021675571514</v>
      </c>
      <c r="G507" s="7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</row>
    <row r="508" spans="1:45" s="12" customFormat="1">
      <c r="A508" s="20">
        <v>677</v>
      </c>
      <c r="B508" s="42">
        <v>4.8</v>
      </c>
      <c r="C508" s="43">
        <v>0.55300000000000005</v>
      </c>
      <c r="D508" s="41">
        <v>46.297556287542939</v>
      </c>
      <c r="E508" s="41">
        <v>41.843691853868187</v>
      </c>
      <c r="F508" s="44">
        <f t="shared" si="7"/>
        <v>11.858751858588874</v>
      </c>
      <c r="G508" s="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</row>
    <row r="509" spans="1:45" s="12" customFormat="1">
      <c r="A509" s="20">
        <v>678</v>
      </c>
      <c r="B509" s="42">
        <v>3.9</v>
      </c>
      <c r="C509" s="43">
        <v>0.54500000000000004</v>
      </c>
      <c r="D509" s="41">
        <v>44.248842665791756</v>
      </c>
      <c r="E509" s="41">
        <v>46.286026974273511</v>
      </c>
      <c r="F509" s="44">
        <f t="shared" si="7"/>
        <v>9.465130359934733</v>
      </c>
      <c r="G509" s="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</row>
    <row r="510" spans="1:45" s="10" customFormat="1">
      <c r="A510" s="20">
        <v>679</v>
      </c>
      <c r="B510" s="42">
        <v>2.2000000000000002</v>
      </c>
      <c r="C510" s="43">
        <v>0.53900000000000003</v>
      </c>
      <c r="D510" s="41">
        <v>49.942461850946373</v>
      </c>
      <c r="E510" s="41">
        <v>45.53436247363426</v>
      </c>
      <c r="F510" s="44">
        <f t="shared" si="7"/>
        <v>4.5231756754193668</v>
      </c>
      <c r="G510" s="7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</row>
    <row r="511" spans="1:45" s="10" customFormat="1">
      <c r="A511" s="20">
        <v>680</v>
      </c>
      <c r="B511" s="42">
        <v>1.9</v>
      </c>
      <c r="C511" s="43">
        <v>0.59499999999999997</v>
      </c>
      <c r="D511" s="41">
        <v>34.363043937300247</v>
      </c>
      <c r="E511" s="41">
        <v>55.102449374591188</v>
      </c>
      <c r="F511" s="44">
        <f t="shared" si="7"/>
        <v>10.534506688108564</v>
      </c>
      <c r="G511" s="7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</row>
    <row r="512" spans="1:45" s="12" customFormat="1">
      <c r="A512" s="20">
        <v>681</v>
      </c>
      <c r="B512" s="42">
        <v>3</v>
      </c>
      <c r="C512" s="43">
        <v>0.60899999999999999</v>
      </c>
      <c r="D512" s="41">
        <v>59.66077151312772</v>
      </c>
      <c r="E512" s="41">
        <v>39.111726872456181</v>
      </c>
      <c r="F512" s="44">
        <f t="shared" si="7"/>
        <v>1.2275016144160986</v>
      </c>
      <c r="G512" s="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</row>
    <row r="513" spans="1:45" s="10" customFormat="1">
      <c r="A513" s="20">
        <v>682</v>
      </c>
      <c r="B513" s="42">
        <v>3.3</v>
      </c>
      <c r="C513" s="43">
        <v>0.54100000000000004</v>
      </c>
      <c r="D513" s="41">
        <v>49.852492828493581</v>
      </c>
      <c r="E513" s="41">
        <v>43.579397759654213</v>
      </c>
      <c r="F513" s="44">
        <f t="shared" si="7"/>
        <v>6.5681094118522054</v>
      </c>
      <c r="G513" s="7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</row>
    <row r="514" spans="1:45" s="10" customFormat="1">
      <c r="A514" s="20">
        <v>683</v>
      </c>
      <c r="B514" s="42">
        <v>2.9</v>
      </c>
      <c r="C514" s="43">
        <v>0.58499999999999996</v>
      </c>
      <c r="D514" s="41">
        <v>63.1027265426413</v>
      </c>
      <c r="E514" s="41">
        <v>32.498729572593412</v>
      </c>
      <c r="F514" s="44">
        <f t="shared" si="7"/>
        <v>4.3985438847652887</v>
      </c>
      <c r="G514" s="7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</row>
    <row r="515" spans="1:45" s="10" customFormat="1">
      <c r="A515" s="20">
        <v>684</v>
      </c>
      <c r="B515" s="42">
        <v>2.8</v>
      </c>
      <c r="C515" s="43">
        <v>0.58299999999999996</v>
      </c>
      <c r="D515" s="41">
        <v>53.573911072983393</v>
      </c>
      <c r="E515" s="41">
        <v>41.619119369836653</v>
      </c>
      <c r="F515" s="44">
        <f t="shared" si="7"/>
        <v>4.8069695571799542</v>
      </c>
      <c r="G515" s="7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</row>
    <row r="516" spans="1:45" s="10" customFormat="1">
      <c r="A516" s="20">
        <v>685</v>
      </c>
      <c r="B516" s="42">
        <v>3.3</v>
      </c>
      <c r="C516" s="43">
        <v>0.52400000000000002</v>
      </c>
      <c r="D516" s="41">
        <v>51.404187633207542</v>
      </c>
      <c r="E516" s="41">
        <v>44.688400945460515</v>
      </c>
      <c r="F516" s="44">
        <f t="shared" si="7"/>
        <v>3.9074114213319433</v>
      </c>
      <c r="G516" s="7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</row>
    <row r="517" spans="1:45" s="12" customFormat="1">
      <c r="A517" s="20">
        <v>686</v>
      </c>
      <c r="B517" s="42">
        <v>4.7</v>
      </c>
      <c r="C517" s="43">
        <v>0.58199999999999996</v>
      </c>
      <c r="D517" s="41">
        <v>77.502314139910766</v>
      </c>
      <c r="E517" s="41">
        <v>22.162213199503228</v>
      </c>
      <c r="F517" s="44">
        <f t="shared" ref="F517:F580" si="8">100-D517-E517</f>
        <v>0.33547266058600655</v>
      </c>
      <c r="G517" s="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</row>
    <row r="518" spans="1:45" s="12" customFormat="1">
      <c r="A518" s="20">
        <v>687</v>
      </c>
      <c r="B518" s="42">
        <v>4.3</v>
      </c>
      <c r="C518" s="43">
        <v>0.55100000000000005</v>
      </c>
      <c r="D518" s="41">
        <v>55.445182734940182</v>
      </c>
      <c r="E518" s="41">
        <v>37.012918099025391</v>
      </c>
      <c r="F518" s="44">
        <f t="shared" si="8"/>
        <v>7.5418991660344261</v>
      </c>
      <c r="G518" s="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  <c r="AR518" s="37"/>
      <c r="AS518" s="37"/>
    </row>
    <row r="519" spans="1:45" s="12" customFormat="1">
      <c r="A519" s="20">
        <v>688</v>
      </c>
      <c r="B519" s="42">
        <v>3.1</v>
      </c>
      <c r="C519" s="43">
        <v>0.57699999999999996</v>
      </c>
      <c r="D519" s="41">
        <v>43.291888028452377</v>
      </c>
      <c r="E519" s="41">
        <v>52.398346103883767</v>
      </c>
      <c r="F519" s="44">
        <f t="shared" si="8"/>
        <v>4.3097658676638559</v>
      </c>
      <c r="G519" s="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</row>
    <row r="520" spans="1:45" s="10" customFormat="1">
      <c r="A520" s="20">
        <v>689</v>
      </c>
      <c r="B520" s="42">
        <v>4</v>
      </c>
      <c r="C520" s="43">
        <v>0.61599999999999999</v>
      </c>
      <c r="D520" s="41">
        <v>62.434404488978814</v>
      </c>
      <c r="E520" s="41">
        <v>36.286956456670339</v>
      </c>
      <c r="F520" s="44">
        <f t="shared" si="8"/>
        <v>1.2786390543508475</v>
      </c>
      <c r="G520" s="7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</row>
    <row r="521" spans="1:45" s="10" customFormat="1">
      <c r="A521" s="20">
        <v>690</v>
      </c>
      <c r="B521" s="42">
        <v>4</v>
      </c>
      <c r="C521" s="43">
        <v>0.55100000000000005</v>
      </c>
      <c r="D521" s="41">
        <v>63.031954902433462</v>
      </c>
      <c r="E521" s="41">
        <v>36.174183159070772</v>
      </c>
      <c r="F521" s="44">
        <f t="shared" si="8"/>
        <v>0.79386193849576614</v>
      </c>
      <c r="G521" s="7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</row>
    <row r="522" spans="1:45" s="10" customFormat="1">
      <c r="A522" s="20">
        <v>691</v>
      </c>
      <c r="B522" s="42">
        <v>3.4</v>
      </c>
      <c r="C522" s="43">
        <v>0.58499999999999996</v>
      </c>
      <c r="D522" s="41">
        <v>62.709909605402615</v>
      </c>
      <c r="E522" s="41">
        <v>36.717397324442246</v>
      </c>
      <c r="F522" s="44">
        <f t="shared" si="8"/>
        <v>0.57269307015513959</v>
      </c>
      <c r="G522" s="7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</row>
    <row r="523" spans="1:45" s="10" customFormat="1">
      <c r="A523" s="20">
        <v>692</v>
      </c>
      <c r="B523" s="42">
        <v>3.7</v>
      </c>
      <c r="C523" s="43">
        <v>0.60599999999999998</v>
      </c>
      <c r="D523" s="41">
        <v>57.389831050149873</v>
      </c>
      <c r="E523" s="41">
        <v>41.428456616210703</v>
      </c>
      <c r="F523" s="44">
        <f t="shared" si="8"/>
        <v>1.1817123336394246</v>
      </c>
      <c r="G523" s="7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</row>
    <row r="524" spans="1:45" s="10" customFormat="1">
      <c r="A524" s="20">
        <v>693</v>
      </c>
      <c r="B524" s="42">
        <v>25.7</v>
      </c>
      <c r="C524" s="43">
        <v>0.67800000000000005</v>
      </c>
      <c r="D524" s="41">
        <v>65.85073133004181</v>
      </c>
      <c r="E524" s="41">
        <v>21.151237521305461</v>
      </c>
      <c r="F524" s="44">
        <f t="shared" si="8"/>
        <v>12.998031148652728</v>
      </c>
      <c r="G524" s="7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</row>
    <row r="525" spans="1:45" s="10" customFormat="1">
      <c r="A525" s="20">
        <v>694</v>
      </c>
      <c r="B525" s="42">
        <v>9.5</v>
      </c>
      <c r="C525" s="43">
        <v>0.66800000000000004</v>
      </c>
      <c r="D525" s="41">
        <v>73.416829288266896</v>
      </c>
      <c r="E525" s="41">
        <v>24.898900953822263</v>
      </c>
      <c r="F525" s="44">
        <f t="shared" si="8"/>
        <v>1.6842697579108403</v>
      </c>
      <c r="G525" s="7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</row>
    <row r="526" spans="1:45" s="10" customFormat="1">
      <c r="A526" s="20">
        <v>695</v>
      </c>
      <c r="B526" s="42">
        <v>24.2</v>
      </c>
      <c r="C526" s="43">
        <v>0.67</v>
      </c>
      <c r="D526" s="41">
        <v>57.917208297416792</v>
      </c>
      <c r="E526" s="41">
        <v>35.461399698338141</v>
      </c>
      <c r="F526" s="44">
        <f t="shared" si="8"/>
        <v>6.6213920042450667</v>
      </c>
      <c r="G526" s="7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</row>
    <row r="527" spans="1:45" s="12" customFormat="1" ht="12" customHeight="1">
      <c r="A527" s="20">
        <v>696</v>
      </c>
      <c r="B527" s="42">
        <v>9.4</v>
      </c>
      <c r="C527" s="43">
        <v>0.65600000000000003</v>
      </c>
      <c r="D527" s="41">
        <v>66.141645048176784</v>
      </c>
      <c r="E527" s="41">
        <v>31.631920535111206</v>
      </c>
      <c r="F527" s="44">
        <f t="shared" si="8"/>
        <v>2.22643441671201</v>
      </c>
      <c r="G527" s="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</row>
    <row r="528" spans="1:45" s="10" customFormat="1">
      <c r="A528" s="20">
        <v>697</v>
      </c>
      <c r="B528" s="42">
        <v>41</v>
      </c>
      <c r="C528" s="43">
        <v>0.71499999999999997</v>
      </c>
      <c r="D528" s="41">
        <v>81.648035101769452</v>
      </c>
      <c r="E528" s="41">
        <v>8.2766827867932875</v>
      </c>
      <c r="F528" s="44">
        <f t="shared" si="8"/>
        <v>10.075282111437261</v>
      </c>
      <c r="G528" s="7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</row>
    <row r="529" spans="1:45" s="10" customFormat="1">
      <c r="A529" s="20">
        <v>698</v>
      </c>
      <c r="B529" s="42">
        <v>44.2</v>
      </c>
      <c r="C529" s="43">
        <v>0.70399999999999996</v>
      </c>
      <c r="D529" s="41">
        <v>70.555026195102172</v>
      </c>
      <c r="E529" s="41">
        <v>12.586207913655187</v>
      </c>
      <c r="F529" s="44">
        <f t="shared" si="8"/>
        <v>16.858765891242641</v>
      </c>
      <c r="G529" s="7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</row>
    <row r="530" spans="1:45" s="10" customFormat="1">
      <c r="A530" s="20">
        <v>699</v>
      </c>
      <c r="B530" s="42">
        <v>39.200000000000003</v>
      </c>
      <c r="C530" s="43">
        <v>0.69299999999999995</v>
      </c>
      <c r="D530" s="41">
        <v>52.715367431246754</v>
      </c>
      <c r="E530" s="41">
        <v>17.036336967008872</v>
      </c>
      <c r="F530" s="44">
        <f t="shared" si="8"/>
        <v>30.248295601744374</v>
      </c>
      <c r="G530" s="7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</row>
    <row r="531" spans="1:45" s="13" customFormat="1">
      <c r="A531" s="21" t="s">
        <v>48</v>
      </c>
      <c r="B531" s="42">
        <v>1.22</v>
      </c>
      <c r="C531" s="43">
        <v>0.45700000000000002</v>
      </c>
      <c r="D531" s="41">
        <v>7.8080502579186915</v>
      </c>
      <c r="E531" s="41">
        <v>47.129128020359019</v>
      </c>
      <c r="F531" s="44">
        <f t="shared" si="8"/>
        <v>45.062821721722287</v>
      </c>
      <c r="G531" s="35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</row>
    <row r="532" spans="1:45" s="10" customFormat="1">
      <c r="A532" s="20">
        <v>701</v>
      </c>
      <c r="B532" s="42">
        <v>0.64</v>
      </c>
      <c r="C532" s="43">
        <v>0.43099999999999999</v>
      </c>
      <c r="D532" s="41">
        <v>12.50259834493465</v>
      </c>
      <c r="E532" s="41">
        <v>46.796416380464478</v>
      </c>
      <c r="F532" s="44">
        <f t="shared" si="8"/>
        <v>40.700985274600868</v>
      </c>
      <c r="G532" s="7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</row>
    <row r="533" spans="1:45" s="10" customFormat="1">
      <c r="A533" s="20">
        <v>702</v>
      </c>
      <c r="B533" s="42">
        <v>0.76</v>
      </c>
      <c r="C533" s="43">
        <v>0.44</v>
      </c>
      <c r="D533" s="41">
        <v>16.152158760154485</v>
      </c>
      <c r="E533" s="41">
        <v>42.175153258294309</v>
      </c>
      <c r="F533" s="44">
        <f t="shared" si="8"/>
        <v>41.672687981551199</v>
      </c>
      <c r="G533" s="7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</row>
    <row r="534" spans="1:45" s="10" customFormat="1">
      <c r="A534" s="20">
        <v>703</v>
      </c>
      <c r="B534" s="42">
        <v>0.4</v>
      </c>
      <c r="C534" s="43">
        <v>0.44800000000000001</v>
      </c>
      <c r="D534" s="41">
        <v>14.208028933955388</v>
      </c>
      <c r="E534" s="41">
        <v>37.444245537321493</v>
      </c>
      <c r="F534" s="44">
        <f t="shared" si="8"/>
        <v>48.347725528723117</v>
      </c>
      <c r="G534" s="7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</row>
    <row r="535" spans="1:45" s="10" customFormat="1">
      <c r="A535" s="20">
        <v>704</v>
      </c>
      <c r="B535" s="42">
        <v>0.45</v>
      </c>
      <c r="C535" s="43">
        <v>0.45700000000000002</v>
      </c>
      <c r="D535" s="41">
        <v>12.838178111058557</v>
      </c>
      <c r="E535" s="41">
        <v>36.012586037515447</v>
      </c>
      <c r="F535" s="44">
        <f t="shared" si="8"/>
        <v>51.149235851425999</v>
      </c>
      <c r="G535" s="7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</row>
    <row r="536" spans="1:45" s="10" customFormat="1">
      <c r="A536" s="20">
        <v>705</v>
      </c>
      <c r="B536" s="42">
        <v>0.4</v>
      </c>
      <c r="C536" s="43">
        <v>0.435</v>
      </c>
      <c r="D536" s="41">
        <v>9.9551822703231938</v>
      </c>
      <c r="E536" s="41">
        <v>33.297314738879727</v>
      </c>
      <c r="F536" s="44">
        <f t="shared" si="8"/>
        <v>56.747502990797081</v>
      </c>
      <c r="G536" s="7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</row>
    <row r="537" spans="1:45" s="10" customFormat="1">
      <c r="A537" s="20">
        <v>706</v>
      </c>
      <c r="B537" s="42">
        <v>0.24</v>
      </c>
      <c r="C537" s="43">
        <v>0.44400000000000001</v>
      </c>
      <c r="D537" s="41">
        <v>8.1450881327689011</v>
      </c>
      <c r="E537" s="41">
        <v>24.774119529055763</v>
      </c>
      <c r="F537" s="44">
        <f t="shared" si="8"/>
        <v>67.080792338175328</v>
      </c>
      <c r="G537" s="7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</row>
    <row r="538" spans="1:45" s="10" customFormat="1">
      <c r="A538" s="20">
        <v>707</v>
      </c>
      <c r="B538" s="42">
        <v>0.33</v>
      </c>
      <c r="C538" s="43">
        <v>0.45700000000000002</v>
      </c>
      <c r="D538" s="41">
        <v>10.772018904553446</v>
      </c>
      <c r="E538" s="41">
        <v>28.997454382250055</v>
      </c>
      <c r="F538" s="44">
        <f t="shared" si="8"/>
        <v>60.230526713196497</v>
      </c>
      <c r="G538" s="7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</row>
    <row r="539" spans="1:45" s="10" customFormat="1">
      <c r="A539" s="20">
        <v>708</v>
      </c>
      <c r="B539" s="42">
        <v>0.13</v>
      </c>
      <c r="C539" s="43">
        <v>0.47099999999999997</v>
      </c>
      <c r="D539" s="41">
        <v>7.3873364703701148</v>
      </c>
      <c r="E539" s="41">
        <v>24.250081875699298</v>
      </c>
      <c r="F539" s="44">
        <f t="shared" si="8"/>
        <v>68.36258165393059</v>
      </c>
      <c r="G539" s="7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</row>
    <row r="540" spans="1:45" s="10" customFormat="1">
      <c r="A540" s="20">
        <v>709</v>
      </c>
      <c r="B540" s="42">
        <v>0.28000000000000003</v>
      </c>
      <c r="C540" s="43">
        <v>0.504</v>
      </c>
      <c r="D540" s="41">
        <v>6.439150156822314</v>
      </c>
      <c r="E540" s="41">
        <v>29.996128685758549</v>
      </c>
      <c r="F540" s="44">
        <f t="shared" si="8"/>
        <v>63.564721157419143</v>
      </c>
      <c r="G540" s="7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</row>
    <row r="541" spans="1:45" s="10" customFormat="1">
      <c r="A541" s="20">
        <v>710</v>
      </c>
      <c r="B541" s="42">
        <v>1.22</v>
      </c>
      <c r="C541" s="43">
        <v>0.49299999999999999</v>
      </c>
      <c r="D541" s="41">
        <v>13.001217561623434</v>
      </c>
      <c r="E541" s="41">
        <v>48.127619164502221</v>
      </c>
      <c r="F541" s="44">
        <f t="shared" si="8"/>
        <v>38.871163273874345</v>
      </c>
      <c r="G541" s="7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</row>
    <row r="542" spans="1:45" s="13" customFormat="1">
      <c r="A542" s="21" t="s">
        <v>49</v>
      </c>
      <c r="B542" s="42">
        <v>0.64</v>
      </c>
      <c r="C542" s="43">
        <v>0.435</v>
      </c>
      <c r="D542" s="41">
        <v>12.792594355867331</v>
      </c>
      <c r="E542" s="41">
        <v>47.082860574634516</v>
      </c>
      <c r="F542" s="44">
        <f t="shared" si="8"/>
        <v>40.124545069498147</v>
      </c>
      <c r="G542" s="35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</row>
    <row r="543" spans="1:45" s="13" customFormat="1">
      <c r="A543" s="24" t="s">
        <v>50</v>
      </c>
      <c r="B543" s="42">
        <v>0.76</v>
      </c>
      <c r="C543" s="52">
        <v>0.44800000000000001</v>
      </c>
      <c r="D543" s="41">
        <v>17.616551052928976</v>
      </c>
      <c r="E543" s="41">
        <v>46.087428418697215</v>
      </c>
      <c r="F543" s="44">
        <f t="shared" si="8"/>
        <v>36.296020528373816</v>
      </c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</row>
    <row r="544" spans="1:45" s="10" customFormat="1">
      <c r="A544" s="20">
        <v>713</v>
      </c>
      <c r="B544" s="42">
        <v>0.4</v>
      </c>
      <c r="C544" s="43">
        <v>0.48399999999999999</v>
      </c>
      <c r="D544" s="41">
        <v>15.534829856561483</v>
      </c>
      <c r="E544" s="41">
        <v>37.927744983130779</v>
      </c>
      <c r="F544" s="44">
        <f t="shared" si="8"/>
        <v>46.537425160307734</v>
      </c>
      <c r="G544" s="7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</row>
    <row r="545" spans="1:45" s="13" customFormat="1">
      <c r="A545" s="21" t="s">
        <v>51</v>
      </c>
      <c r="B545" s="42">
        <v>0.45</v>
      </c>
      <c r="C545" s="43">
        <v>0.45300000000000001</v>
      </c>
      <c r="D545" s="41">
        <v>15.328761594858264</v>
      </c>
      <c r="E545" s="41">
        <v>37.273945825805477</v>
      </c>
      <c r="F545" s="44">
        <f t="shared" si="8"/>
        <v>47.397292579336259</v>
      </c>
      <c r="G545" s="35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</row>
    <row r="546" spans="1:45" s="10" customFormat="1">
      <c r="A546" s="20">
        <v>715</v>
      </c>
      <c r="B546" s="42">
        <v>0.4</v>
      </c>
      <c r="C546" s="43">
        <v>0.47499999999999998</v>
      </c>
      <c r="D546" s="41">
        <v>13.984061923012156</v>
      </c>
      <c r="E546" s="41">
        <v>33.161752587380555</v>
      </c>
      <c r="F546" s="44">
        <f t="shared" si="8"/>
        <v>52.854185489607296</v>
      </c>
      <c r="G546" s="7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</row>
    <row r="547" spans="1:45" s="10" customFormat="1">
      <c r="A547" s="20">
        <v>716</v>
      </c>
      <c r="B547" s="42">
        <v>0.24</v>
      </c>
      <c r="C547" s="43">
        <v>0.45100000000000001</v>
      </c>
      <c r="D547" s="41">
        <v>13.644939419960442</v>
      </c>
      <c r="E547" s="41">
        <v>29.386364704832353</v>
      </c>
      <c r="F547" s="44">
        <f t="shared" si="8"/>
        <v>56.96869587520721</v>
      </c>
      <c r="G547" s="7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</row>
    <row r="548" spans="1:45" s="10" customFormat="1">
      <c r="A548" s="20">
        <v>717</v>
      </c>
      <c r="B548" s="42">
        <v>0.33</v>
      </c>
      <c r="C548" s="43">
        <v>0.46</v>
      </c>
      <c r="D548" s="41">
        <v>12.061248061188676</v>
      </c>
      <c r="E548" s="41">
        <v>27.354086413863548</v>
      </c>
      <c r="F548" s="44">
        <f t="shared" si="8"/>
        <v>60.584665524947773</v>
      </c>
      <c r="G548" s="7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</row>
    <row r="549" spans="1:45" s="10" customFormat="1">
      <c r="A549" s="20">
        <v>718</v>
      </c>
      <c r="B549" s="42">
        <v>0.13</v>
      </c>
      <c r="C549" s="43">
        <v>0.45600000000000002</v>
      </c>
      <c r="D549" s="41">
        <v>10.303917583120937</v>
      </c>
      <c r="E549" s="41">
        <v>24.588282699555116</v>
      </c>
      <c r="F549" s="44">
        <f t="shared" si="8"/>
        <v>65.107799717323957</v>
      </c>
      <c r="G549" s="7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</row>
    <row r="550" spans="1:45" s="10" customFormat="1">
      <c r="A550" s="20">
        <v>719</v>
      </c>
      <c r="B550" s="42">
        <v>0.28000000000000003</v>
      </c>
      <c r="C550" s="43">
        <v>0.47099999999999997</v>
      </c>
      <c r="D550" s="41">
        <v>9.2917638634133848</v>
      </c>
      <c r="E550" s="41">
        <v>31.104094982872049</v>
      </c>
      <c r="F550" s="44">
        <f t="shared" si="8"/>
        <v>59.604141153714572</v>
      </c>
      <c r="G550" s="7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</row>
    <row r="551" spans="1:45" s="10" customFormat="1">
      <c r="A551" s="20">
        <v>720</v>
      </c>
      <c r="B551" s="42">
        <v>1.59</v>
      </c>
      <c r="C551" s="43">
        <v>0.45600000000000002</v>
      </c>
      <c r="D551" s="41">
        <v>21.557200311090082</v>
      </c>
      <c r="E551" s="41">
        <v>38.616625759051587</v>
      </c>
      <c r="F551" s="44">
        <f t="shared" si="8"/>
        <v>39.826173929858328</v>
      </c>
      <c r="G551" s="7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</row>
    <row r="552" spans="1:45" s="10" customFormat="1">
      <c r="A552" s="20">
        <v>721</v>
      </c>
      <c r="B552" s="42">
        <v>1.66</v>
      </c>
      <c r="C552" s="43">
        <v>0.378</v>
      </c>
      <c r="D552" s="41">
        <v>18.10827464454831</v>
      </c>
      <c r="E552" s="41">
        <v>44.257535792337976</v>
      </c>
      <c r="F552" s="44">
        <f t="shared" si="8"/>
        <v>37.634189563113708</v>
      </c>
      <c r="G552" s="7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</row>
    <row r="553" spans="1:45" s="10" customFormat="1">
      <c r="A553" s="20">
        <v>722</v>
      </c>
      <c r="B553" s="42">
        <v>1.66</v>
      </c>
      <c r="C553" s="43">
        <v>0.39700000000000002</v>
      </c>
      <c r="D553" s="41">
        <v>18.427829433428329</v>
      </c>
      <c r="E553" s="41">
        <v>44.229499313379868</v>
      </c>
      <c r="F553" s="44">
        <f t="shared" si="8"/>
        <v>37.342671253191803</v>
      </c>
      <c r="G553" s="7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</row>
    <row r="554" spans="1:45" s="10" customFormat="1">
      <c r="A554" s="20">
        <v>723</v>
      </c>
      <c r="B554" s="42">
        <v>1.1399999999999999</v>
      </c>
      <c r="C554" s="43">
        <v>0.42399999999999999</v>
      </c>
      <c r="D554" s="41">
        <v>14.63473495355576</v>
      </c>
      <c r="E554" s="41">
        <v>43.295310622073188</v>
      </c>
      <c r="F554" s="44">
        <f t="shared" si="8"/>
        <v>42.069954424371048</v>
      </c>
      <c r="G554" s="7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</row>
    <row r="555" spans="1:45" s="10" customFormat="1">
      <c r="A555" s="20">
        <v>724</v>
      </c>
      <c r="B555" s="42">
        <v>2.59</v>
      </c>
      <c r="C555" s="43">
        <v>0.45800000000000002</v>
      </c>
      <c r="D555" s="41">
        <v>16.89777855278783</v>
      </c>
      <c r="E555" s="41">
        <v>44.361488641232</v>
      </c>
      <c r="F555" s="44">
        <f t="shared" si="8"/>
        <v>38.740732805980173</v>
      </c>
      <c r="G555" s="7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</row>
    <row r="556" spans="1:45" s="10" customFormat="1">
      <c r="A556" s="20">
        <v>725</v>
      </c>
      <c r="B556" s="42">
        <v>0.97</v>
      </c>
      <c r="C556" s="43">
        <v>0.46200000000000002</v>
      </c>
      <c r="D556" s="41">
        <v>25.543180740771405</v>
      </c>
      <c r="E556" s="41">
        <v>41.950356644883968</v>
      </c>
      <c r="F556" s="44">
        <f t="shared" si="8"/>
        <v>32.506462614344628</v>
      </c>
      <c r="G556" s="7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</row>
    <row r="557" spans="1:45" s="10" customFormat="1">
      <c r="A557" s="20">
        <v>726</v>
      </c>
      <c r="B557" s="42">
        <v>1.17</v>
      </c>
      <c r="C557" s="43">
        <v>0.48199999999999998</v>
      </c>
      <c r="D557" s="41">
        <v>22.034464106359081</v>
      </c>
      <c r="E557" s="41">
        <v>42.883325987754006</v>
      </c>
      <c r="F557" s="44">
        <f t="shared" si="8"/>
        <v>35.082209905886913</v>
      </c>
      <c r="G557" s="7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</row>
    <row r="558" spans="1:45" s="10" customFormat="1">
      <c r="A558" s="20">
        <v>727</v>
      </c>
      <c r="B558" s="42">
        <v>1.1000000000000001</v>
      </c>
      <c r="C558" s="43">
        <v>0.502</v>
      </c>
      <c r="D558" s="41">
        <v>26.501129176497102</v>
      </c>
      <c r="E558" s="41">
        <v>42.559649823972094</v>
      </c>
      <c r="F558" s="44">
        <f t="shared" si="8"/>
        <v>30.939220999530804</v>
      </c>
      <c r="G558" s="7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</row>
    <row r="559" spans="1:45" s="10" customFormat="1">
      <c r="A559" s="20">
        <v>728</v>
      </c>
      <c r="B559" s="42">
        <v>1.24</v>
      </c>
      <c r="C559" s="43">
        <v>0.50900000000000001</v>
      </c>
      <c r="D559" s="41">
        <v>25.412125881874388</v>
      </c>
      <c r="E559" s="41">
        <v>42.5561677445518</v>
      </c>
      <c r="F559" s="44">
        <f t="shared" si="8"/>
        <v>32.031706373573812</v>
      </c>
      <c r="G559" s="7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</row>
    <row r="560" spans="1:45" s="10" customFormat="1">
      <c r="A560" s="20">
        <v>729</v>
      </c>
      <c r="B560" s="42">
        <v>0.97</v>
      </c>
      <c r="C560" s="43">
        <v>0.47099999999999997</v>
      </c>
      <c r="D560" s="41">
        <v>24.974210384729822</v>
      </c>
      <c r="E560" s="41">
        <v>43.887326286162271</v>
      </c>
      <c r="F560" s="44">
        <f t="shared" si="8"/>
        <v>31.138463329107914</v>
      </c>
      <c r="G560" s="7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</row>
    <row r="561" spans="1:45" s="10" customFormat="1">
      <c r="A561" s="20">
        <v>730</v>
      </c>
      <c r="B561" s="42">
        <v>1.59</v>
      </c>
      <c r="C561" s="43">
        <v>0.46</v>
      </c>
      <c r="D561" s="41">
        <v>21.289889588726467</v>
      </c>
      <c r="E561" s="41">
        <v>45.570637578998003</v>
      </c>
      <c r="F561" s="44">
        <f t="shared" si="8"/>
        <v>33.13947283227553</v>
      </c>
      <c r="G561" s="7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</row>
    <row r="562" spans="1:45" s="13" customFormat="1">
      <c r="A562" s="21" t="s">
        <v>52</v>
      </c>
      <c r="B562" s="42">
        <v>1.66</v>
      </c>
      <c r="C562" s="43">
        <v>0.44400000000000001</v>
      </c>
      <c r="D562" s="41">
        <v>21.280207414451937</v>
      </c>
      <c r="E562" s="41">
        <v>45.939723349671311</v>
      </c>
      <c r="F562" s="44">
        <f t="shared" si="8"/>
        <v>32.780069235876752</v>
      </c>
      <c r="G562" s="35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</row>
    <row r="563" spans="1:45" s="13" customFormat="1">
      <c r="A563" s="24" t="s">
        <v>53</v>
      </c>
      <c r="B563" s="42">
        <v>1.66</v>
      </c>
      <c r="C563" s="52">
        <v>0.45800000000000002</v>
      </c>
      <c r="D563" s="41">
        <v>16.977167366948141</v>
      </c>
      <c r="E563" s="41">
        <v>47.312078768571169</v>
      </c>
      <c r="F563" s="44">
        <f t="shared" si="8"/>
        <v>35.710753864480694</v>
      </c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</row>
    <row r="564" spans="1:45" s="13" customFormat="1">
      <c r="A564" s="24" t="s">
        <v>54</v>
      </c>
      <c r="B564" s="42">
        <v>1.1399999999999999</v>
      </c>
      <c r="C564" s="52">
        <v>0.46700000000000003</v>
      </c>
      <c r="D564" s="41">
        <v>16.180682234140157</v>
      </c>
      <c r="E564" s="41">
        <v>45.838780191458468</v>
      </c>
      <c r="F564" s="44">
        <f t="shared" si="8"/>
        <v>37.980537574401367</v>
      </c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</row>
    <row r="565" spans="1:45" s="13" customFormat="1">
      <c r="A565" s="24" t="s">
        <v>55</v>
      </c>
      <c r="B565" s="42">
        <v>2.59</v>
      </c>
      <c r="C565" s="52">
        <v>0.45400000000000001</v>
      </c>
      <c r="D565" s="41">
        <v>21.380966653910399</v>
      </c>
      <c r="E565" s="41">
        <v>48.074432234075836</v>
      </c>
      <c r="F565" s="44">
        <f t="shared" si="8"/>
        <v>30.544601112013758</v>
      </c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</row>
    <row r="566" spans="1:45" s="13" customFormat="1">
      <c r="A566" s="24" t="s">
        <v>56</v>
      </c>
      <c r="B566" s="42">
        <v>0.97</v>
      </c>
      <c r="C566" s="52">
        <v>0.495</v>
      </c>
      <c r="D566" s="41">
        <v>26.656496044147556</v>
      </c>
      <c r="E566" s="41">
        <v>45.434121599359784</v>
      </c>
      <c r="F566" s="44">
        <f t="shared" si="8"/>
        <v>27.909382356492657</v>
      </c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</row>
    <row r="567" spans="1:45" s="13" customFormat="1">
      <c r="A567" s="24" t="s">
        <v>57</v>
      </c>
      <c r="B567" s="42">
        <v>1.1000000000000001</v>
      </c>
      <c r="C567" s="52">
        <v>0.48699999999999999</v>
      </c>
      <c r="D567" s="41">
        <v>22.422602823454536</v>
      </c>
      <c r="E567" s="41">
        <v>47.887369443197287</v>
      </c>
      <c r="F567" s="44">
        <f t="shared" si="8"/>
        <v>29.690027733348174</v>
      </c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</row>
    <row r="568" spans="1:45" s="13" customFormat="1">
      <c r="A568" s="24" t="s">
        <v>58</v>
      </c>
      <c r="B568" s="42">
        <v>0.97</v>
      </c>
      <c r="C568" s="52">
        <v>0.52200000000000002</v>
      </c>
      <c r="D568" s="41">
        <v>20.966883252991554</v>
      </c>
      <c r="E568" s="41">
        <v>45.719411284045862</v>
      </c>
      <c r="F568" s="44">
        <f t="shared" si="8"/>
        <v>33.313705462962588</v>
      </c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</row>
    <row r="569" spans="1:45" s="13" customFormat="1">
      <c r="A569" s="24" t="s">
        <v>59</v>
      </c>
      <c r="B569" s="42">
        <v>2.2200000000000002</v>
      </c>
      <c r="C569" s="52">
        <v>0.42599999999999999</v>
      </c>
      <c r="D569" s="41">
        <v>34.15533041579944</v>
      </c>
      <c r="E569" s="41">
        <v>36.093404591769172</v>
      </c>
      <c r="F569" s="44">
        <f t="shared" si="8"/>
        <v>29.751264992431388</v>
      </c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</row>
    <row r="570" spans="1:45" s="13" customFormat="1">
      <c r="A570" s="24" t="s">
        <v>60</v>
      </c>
      <c r="B570" s="42">
        <v>1.88</v>
      </c>
      <c r="C570" s="52">
        <v>0.42599999999999999</v>
      </c>
      <c r="D570" s="41">
        <v>35.861395456994039</v>
      </c>
      <c r="E570" s="41">
        <v>39.294393587294515</v>
      </c>
      <c r="F570" s="44">
        <f t="shared" si="8"/>
        <v>24.844210955711439</v>
      </c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</row>
    <row r="571" spans="1:45" s="13" customFormat="1" ht="12" customHeight="1">
      <c r="A571" s="24" t="s">
        <v>61</v>
      </c>
      <c r="B571" s="42">
        <v>2.12</v>
      </c>
      <c r="C571" s="52">
        <v>0.42399999999999999</v>
      </c>
      <c r="D571" s="41">
        <v>35.964490299055704</v>
      </c>
      <c r="E571" s="41">
        <v>37.195653463619287</v>
      </c>
      <c r="F571" s="44">
        <f t="shared" si="8"/>
        <v>26.839856237325002</v>
      </c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</row>
    <row r="572" spans="1:45" s="13" customFormat="1">
      <c r="A572" s="24" t="s">
        <v>62</v>
      </c>
      <c r="B572" s="42">
        <v>1.88</v>
      </c>
      <c r="C572" s="52">
        <v>0.42599999999999999</v>
      </c>
      <c r="D572" s="41">
        <v>35.661224018511355</v>
      </c>
      <c r="E572" s="41">
        <v>38.662741566247853</v>
      </c>
      <c r="F572" s="44">
        <f t="shared" si="8"/>
        <v>25.6760344152408</v>
      </c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</row>
    <row r="573" spans="1:45" s="13" customFormat="1">
      <c r="A573" s="24" t="s">
        <v>63</v>
      </c>
      <c r="B573" s="42">
        <v>1.28</v>
      </c>
      <c r="C573" s="52">
        <v>0.38900000000000001</v>
      </c>
      <c r="D573" s="41">
        <v>33.754423220567517</v>
      </c>
      <c r="E573" s="41">
        <v>41.299714903869372</v>
      </c>
      <c r="F573" s="44">
        <f t="shared" si="8"/>
        <v>24.945861875563111</v>
      </c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</row>
    <row r="574" spans="1:45" s="13" customFormat="1">
      <c r="A574" s="24" t="s">
        <v>64</v>
      </c>
      <c r="B574" s="42">
        <v>1.03</v>
      </c>
      <c r="C574" s="52">
        <v>0.38900000000000001</v>
      </c>
      <c r="D574" s="41">
        <v>31.786594739039746</v>
      </c>
      <c r="E574" s="41">
        <v>44.236206287676922</v>
      </c>
      <c r="F574" s="44">
        <f t="shared" si="8"/>
        <v>23.977198973283336</v>
      </c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</row>
    <row r="575" spans="1:45" s="13" customFormat="1">
      <c r="A575" s="24" t="s">
        <v>65</v>
      </c>
      <c r="B575" s="42">
        <v>1.03</v>
      </c>
      <c r="C575" s="52">
        <v>0.38200000000000001</v>
      </c>
      <c r="D575" s="41">
        <v>30.643677850267398</v>
      </c>
      <c r="E575" s="41">
        <v>44.564436614211559</v>
      </c>
      <c r="F575" s="44">
        <f t="shared" si="8"/>
        <v>24.791885535521047</v>
      </c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</row>
    <row r="576" spans="1:45" s="13" customFormat="1">
      <c r="A576" s="24" t="s">
        <v>66</v>
      </c>
      <c r="B576" s="42">
        <v>0.71</v>
      </c>
      <c r="C576" s="52">
        <v>0.37</v>
      </c>
      <c r="D576" s="41">
        <v>24.397776701868452</v>
      </c>
      <c r="E576" s="41">
        <v>43.967588748308287</v>
      </c>
      <c r="F576" s="44">
        <f t="shared" si="8"/>
        <v>31.634634549823261</v>
      </c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</row>
    <row r="577" spans="1:45" s="13" customFormat="1">
      <c r="A577" s="24" t="s">
        <v>67</v>
      </c>
      <c r="B577" s="42">
        <v>0.53</v>
      </c>
      <c r="C577" s="52">
        <v>0.38100000000000001</v>
      </c>
      <c r="D577" s="41">
        <v>10.272295897687593</v>
      </c>
      <c r="E577" s="41">
        <v>46.205172111278799</v>
      </c>
      <c r="F577" s="44">
        <f t="shared" si="8"/>
        <v>43.522531991033603</v>
      </c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</row>
    <row r="578" spans="1:45" s="13" customFormat="1">
      <c r="A578" s="24" t="s">
        <v>68</v>
      </c>
      <c r="B578" s="42">
        <v>0.47</v>
      </c>
      <c r="C578" s="52">
        <v>0.41</v>
      </c>
      <c r="D578" s="41">
        <v>6.2234437361935644</v>
      </c>
      <c r="E578" s="41">
        <v>43.034113971589278</v>
      </c>
      <c r="F578" s="44">
        <f t="shared" si="8"/>
        <v>50.742442292217163</v>
      </c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</row>
    <row r="579" spans="1:45" s="13" customFormat="1">
      <c r="A579" s="24" t="s">
        <v>69</v>
      </c>
      <c r="B579" s="42">
        <v>2.2200000000000002</v>
      </c>
      <c r="C579" s="52">
        <v>0.44800000000000001</v>
      </c>
      <c r="D579" s="41">
        <v>33.510234618608322</v>
      </c>
      <c r="E579" s="41">
        <v>38.021808741888648</v>
      </c>
      <c r="F579" s="44">
        <f t="shared" si="8"/>
        <v>28.467956639503029</v>
      </c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</row>
    <row r="580" spans="1:45" s="13" customFormat="1">
      <c r="A580" s="24" t="s">
        <v>70</v>
      </c>
      <c r="B580" s="42">
        <v>2.12</v>
      </c>
      <c r="C580" s="52">
        <v>0.46100000000000002</v>
      </c>
      <c r="D580" s="41">
        <v>36.968179716742377</v>
      </c>
      <c r="E580" s="41">
        <v>38.572624341925099</v>
      </c>
      <c r="F580" s="44">
        <f t="shared" si="8"/>
        <v>24.459195941332524</v>
      </c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</row>
    <row r="581" spans="1:45" s="13" customFormat="1">
      <c r="A581" s="24" t="s">
        <v>71</v>
      </c>
      <c r="B581" s="42">
        <v>1.28</v>
      </c>
      <c r="C581" s="52">
        <v>0.37</v>
      </c>
      <c r="D581" s="41">
        <v>33.217245527710382</v>
      </c>
      <c r="E581" s="41">
        <v>42.014136200328672</v>
      </c>
      <c r="F581" s="44">
        <f t="shared" ref="F581:F644" si="9">100-D581-E581</f>
        <v>24.768618271960939</v>
      </c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</row>
    <row r="582" spans="1:45" s="13" customFormat="1">
      <c r="A582" s="24" t="s">
        <v>72</v>
      </c>
      <c r="B582" s="42">
        <v>1.03</v>
      </c>
      <c r="C582" s="52">
        <v>0.375</v>
      </c>
      <c r="D582" s="41">
        <v>30.045585049039879</v>
      </c>
      <c r="E582" s="41">
        <v>39.847763355093399</v>
      </c>
      <c r="F582" s="44">
        <f t="shared" si="9"/>
        <v>30.106651595866715</v>
      </c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</row>
    <row r="583" spans="1:45" s="13" customFormat="1">
      <c r="A583" s="24" t="s">
        <v>73</v>
      </c>
      <c r="B583" s="42">
        <v>0.71</v>
      </c>
      <c r="C583" s="52">
        <v>0.40799999999999997</v>
      </c>
      <c r="D583" s="41">
        <v>7.8223977207298585</v>
      </c>
      <c r="E583" s="41">
        <v>47.207863872460514</v>
      </c>
      <c r="F583" s="44">
        <f t="shared" si="9"/>
        <v>44.969738406809633</v>
      </c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</row>
    <row r="584" spans="1:45" s="13" customFormat="1">
      <c r="A584" s="24" t="s">
        <v>74</v>
      </c>
      <c r="B584" s="42">
        <v>0.47</v>
      </c>
      <c r="C584" s="52">
        <v>0.44700000000000001</v>
      </c>
      <c r="D584" s="41">
        <v>3.6617116659073581</v>
      </c>
      <c r="E584" s="41">
        <v>42.731534477957382</v>
      </c>
      <c r="F584" s="44">
        <f t="shared" si="9"/>
        <v>53.606753856135256</v>
      </c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</row>
    <row r="585" spans="1:45" s="10" customFormat="1">
      <c r="A585" s="20">
        <v>754</v>
      </c>
      <c r="B585" s="42">
        <v>1.55</v>
      </c>
      <c r="C585" s="43">
        <v>0.40200000000000002</v>
      </c>
      <c r="D585" s="41">
        <v>38.661255460105956</v>
      </c>
      <c r="E585" s="41">
        <v>27.7069365665539</v>
      </c>
      <c r="F585" s="44">
        <f t="shared" si="9"/>
        <v>33.631807973340145</v>
      </c>
      <c r="G585" s="7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</row>
    <row r="586" spans="1:45" s="13" customFormat="1">
      <c r="A586" s="21" t="s">
        <v>75</v>
      </c>
      <c r="B586" s="42">
        <v>1.62</v>
      </c>
      <c r="C586" s="43">
        <v>0.36899999999999999</v>
      </c>
      <c r="D586" s="41">
        <v>37.959792350792668</v>
      </c>
      <c r="E586" s="41">
        <v>28.046899841647217</v>
      </c>
      <c r="F586" s="44">
        <f t="shared" si="9"/>
        <v>33.993307807560114</v>
      </c>
      <c r="G586" s="35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</row>
    <row r="587" spans="1:45" s="10" customFormat="1">
      <c r="A587" s="20">
        <v>756</v>
      </c>
      <c r="B587" s="42">
        <v>1.62</v>
      </c>
      <c r="C587" s="43">
        <v>0.40500000000000003</v>
      </c>
      <c r="D587" s="41">
        <v>40.055911970801169</v>
      </c>
      <c r="E587" s="41">
        <v>27.176366061202138</v>
      </c>
      <c r="F587" s="44">
        <f t="shared" si="9"/>
        <v>32.767721967996692</v>
      </c>
      <c r="G587" s="7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</row>
    <row r="588" spans="1:45" s="10" customFormat="1">
      <c r="A588" s="20">
        <v>757</v>
      </c>
      <c r="B588" s="42">
        <v>1.55</v>
      </c>
      <c r="C588" s="43">
        <v>0.441</v>
      </c>
      <c r="D588" s="41">
        <v>51.605326359572167</v>
      </c>
      <c r="E588" s="41">
        <v>24.780352529390491</v>
      </c>
      <c r="F588" s="44">
        <f t="shared" si="9"/>
        <v>23.614321111037341</v>
      </c>
      <c r="G588" s="7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</row>
    <row r="589" spans="1:45" s="12" customFormat="1">
      <c r="A589" s="23">
        <v>758</v>
      </c>
      <c r="B589" s="42">
        <v>1.28</v>
      </c>
      <c r="C589" s="43">
        <v>0.45</v>
      </c>
      <c r="D589" s="41">
        <v>52.748464501346561</v>
      </c>
      <c r="E589" s="41">
        <v>23.116996930018445</v>
      </c>
      <c r="F589" s="44">
        <f t="shared" si="9"/>
        <v>24.134538568634994</v>
      </c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  <c r="AR589" s="37"/>
      <c r="AS589" s="37"/>
    </row>
    <row r="590" spans="1:45" s="13" customFormat="1">
      <c r="A590" s="21" t="s">
        <v>76</v>
      </c>
      <c r="B590" s="42">
        <v>1.03</v>
      </c>
      <c r="C590" s="43">
        <v>0.41899999999999998</v>
      </c>
      <c r="D590" s="41">
        <v>52.603540585896113</v>
      </c>
      <c r="E590" s="41">
        <v>21.381120435552333</v>
      </c>
      <c r="F590" s="44">
        <f t="shared" si="9"/>
        <v>26.015338978551554</v>
      </c>
      <c r="G590" s="35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</row>
    <row r="591" spans="1:45" s="13" customFormat="1">
      <c r="A591" s="24" t="s">
        <v>77</v>
      </c>
      <c r="B591" s="42">
        <v>1.07</v>
      </c>
      <c r="C591" s="52">
        <v>0.42299999999999999</v>
      </c>
      <c r="D591" s="41">
        <v>53.187706794049816</v>
      </c>
      <c r="E591" s="41">
        <v>26.252187675685633</v>
      </c>
      <c r="F591" s="44">
        <f t="shared" si="9"/>
        <v>20.560105530264551</v>
      </c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</row>
    <row r="592" spans="1:45" s="13" customFormat="1">
      <c r="A592" s="24" t="s">
        <v>78</v>
      </c>
      <c r="B592" s="42">
        <v>1.17</v>
      </c>
      <c r="C592" s="52">
        <v>0.42</v>
      </c>
      <c r="D592" s="41">
        <v>47.68313938579319</v>
      </c>
      <c r="E592" s="41">
        <v>33.035343622801328</v>
      </c>
      <c r="F592" s="44">
        <f t="shared" si="9"/>
        <v>19.281516991405482</v>
      </c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</row>
    <row r="593" spans="1:45" s="13" customFormat="1">
      <c r="A593" s="24" t="s">
        <v>79</v>
      </c>
      <c r="B593" s="42">
        <v>0.69</v>
      </c>
      <c r="C593" s="52">
        <v>0.42499999999999999</v>
      </c>
      <c r="D593" s="41">
        <v>50.232531310678795</v>
      </c>
      <c r="E593" s="41">
        <v>42.791989109574374</v>
      </c>
      <c r="F593" s="44">
        <f t="shared" si="9"/>
        <v>6.9754795797468319</v>
      </c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</row>
    <row r="594" spans="1:45" s="13" customFormat="1">
      <c r="A594" s="24" t="s">
        <v>80</v>
      </c>
      <c r="B594" s="42">
        <v>0.86</v>
      </c>
      <c r="C594" s="52">
        <v>0.41499999999999998</v>
      </c>
      <c r="D594" s="41">
        <v>44.521280444600514</v>
      </c>
      <c r="E594" s="41">
        <v>51.134519296920978</v>
      </c>
      <c r="F594" s="44">
        <f t="shared" si="9"/>
        <v>4.3442002584785087</v>
      </c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</row>
    <row r="595" spans="1:45" s="13" customFormat="1">
      <c r="A595" s="24" t="s">
        <v>81</v>
      </c>
      <c r="B595" s="42">
        <v>1.55</v>
      </c>
      <c r="C595" s="52">
        <v>0.36499999999999999</v>
      </c>
      <c r="D595" s="41">
        <v>42.749416688808154</v>
      </c>
      <c r="E595" s="41">
        <v>26.067184044042037</v>
      </c>
      <c r="F595" s="44">
        <f t="shared" si="9"/>
        <v>31.183399267149809</v>
      </c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</row>
    <row r="596" spans="1:45" s="13" customFormat="1">
      <c r="A596" s="24" t="s">
        <v>82</v>
      </c>
      <c r="B596" s="42">
        <v>1.62</v>
      </c>
      <c r="C596" s="52">
        <v>0.35799999999999998</v>
      </c>
      <c r="D596" s="41">
        <v>42.118057508848096</v>
      </c>
      <c r="E596" s="41">
        <v>25.686200397180642</v>
      </c>
      <c r="F596" s="44">
        <f t="shared" si="9"/>
        <v>32.195742093971262</v>
      </c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</row>
    <row r="597" spans="1:45" s="13" customFormat="1">
      <c r="A597" s="24" t="s">
        <v>83</v>
      </c>
      <c r="B597" s="42">
        <v>1.62</v>
      </c>
      <c r="C597" s="52">
        <v>0.34599999999999997</v>
      </c>
      <c r="D597" s="41">
        <v>42.85905212661504</v>
      </c>
      <c r="E597" s="41">
        <v>26.353713124108694</v>
      </c>
      <c r="F597" s="44">
        <f t="shared" si="9"/>
        <v>30.787234749276266</v>
      </c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</row>
    <row r="598" spans="1:45" s="13" customFormat="1">
      <c r="A598" s="24" t="s">
        <v>84</v>
      </c>
      <c r="B598" s="42">
        <v>1.55</v>
      </c>
      <c r="C598" s="52">
        <v>0.36399999999999999</v>
      </c>
      <c r="D598" s="41">
        <v>46.140960627482258</v>
      </c>
      <c r="E598" s="41">
        <v>25.776169257718706</v>
      </c>
      <c r="F598" s="44">
        <f t="shared" si="9"/>
        <v>28.082870114799036</v>
      </c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</row>
    <row r="599" spans="1:45" s="13" customFormat="1">
      <c r="A599" s="24" t="s">
        <v>85</v>
      </c>
      <c r="B599" s="42">
        <v>1.28</v>
      </c>
      <c r="C599" s="52">
        <v>0.36099999999999999</v>
      </c>
      <c r="D599" s="41">
        <v>46.2871691929588</v>
      </c>
      <c r="E599" s="41">
        <v>25.170241735071386</v>
      </c>
      <c r="F599" s="44">
        <f t="shared" si="9"/>
        <v>28.542589071969815</v>
      </c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</row>
    <row r="600" spans="1:45" s="13" customFormat="1">
      <c r="A600" s="24" t="s">
        <v>86</v>
      </c>
      <c r="B600" s="42">
        <v>1.03</v>
      </c>
      <c r="C600" s="52">
        <v>0.379</v>
      </c>
      <c r="D600" s="41">
        <v>46.33482766604444</v>
      </c>
      <c r="E600" s="41">
        <v>25.424180986401417</v>
      </c>
      <c r="F600" s="44">
        <f t="shared" si="9"/>
        <v>28.240991347554143</v>
      </c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</row>
    <row r="601" spans="1:45" s="13" customFormat="1">
      <c r="A601" s="24" t="s">
        <v>87</v>
      </c>
      <c r="B601" s="42">
        <v>1.07</v>
      </c>
      <c r="C601" s="52">
        <v>0.35199999999999998</v>
      </c>
      <c r="D601" s="41">
        <v>36.080278463180818</v>
      </c>
      <c r="E601" s="41">
        <v>59.417057121096676</v>
      </c>
      <c r="F601" s="44">
        <f t="shared" si="9"/>
        <v>4.5026644157225064</v>
      </c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</row>
    <row r="602" spans="1:45" s="13" customFormat="1">
      <c r="A602" s="24" t="s">
        <v>88</v>
      </c>
      <c r="B602" s="42">
        <v>1.17</v>
      </c>
      <c r="C602" s="52">
        <v>0.371</v>
      </c>
      <c r="D602" s="41">
        <v>35.893321900800615</v>
      </c>
      <c r="E602" s="41">
        <v>61.801845073307106</v>
      </c>
      <c r="F602" s="44">
        <f t="shared" si="9"/>
        <v>2.3048330258922789</v>
      </c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</row>
    <row r="603" spans="1:45" s="13" customFormat="1">
      <c r="A603" s="24" t="s">
        <v>89</v>
      </c>
      <c r="B603" s="42">
        <v>0.69</v>
      </c>
      <c r="C603" s="52">
        <v>0.38800000000000001</v>
      </c>
      <c r="D603" s="41">
        <v>24.227156154322095</v>
      </c>
      <c r="E603" s="41">
        <v>72.70792217765586</v>
      </c>
      <c r="F603" s="44">
        <f t="shared" si="9"/>
        <v>3.0649216680220377</v>
      </c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</row>
    <row r="604" spans="1:45" s="13" customFormat="1">
      <c r="A604" s="24" t="s">
        <v>90</v>
      </c>
      <c r="B604" s="42">
        <v>0.86</v>
      </c>
      <c r="C604" s="52">
        <v>0.39300000000000002</v>
      </c>
      <c r="D604" s="41">
        <v>24.917916548550007</v>
      </c>
      <c r="E604" s="41">
        <v>71.496517937936545</v>
      </c>
      <c r="F604" s="44">
        <f t="shared" si="9"/>
        <v>3.5855655135134441</v>
      </c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</row>
    <row r="605" spans="1:45" s="12" customFormat="1">
      <c r="A605" s="23">
        <v>774</v>
      </c>
      <c r="B605" s="42">
        <v>1.69</v>
      </c>
      <c r="C605" s="43">
        <v>0.50600000000000001</v>
      </c>
      <c r="D605" s="41">
        <v>55.570830273233277</v>
      </c>
      <c r="E605" s="41">
        <v>38.0709860428205</v>
      </c>
      <c r="F605" s="44">
        <f t="shared" si="9"/>
        <v>6.3581836839462227</v>
      </c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  <c r="AR605" s="37"/>
      <c r="AS605" s="37"/>
    </row>
    <row r="606" spans="1:45" s="13" customFormat="1">
      <c r="A606" s="21" t="s">
        <v>91</v>
      </c>
      <c r="B606" s="42">
        <v>1.97</v>
      </c>
      <c r="C606" s="43">
        <v>0.48299999999999998</v>
      </c>
      <c r="D606" s="41">
        <v>55.801911571618746</v>
      </c>
      <c r="E606" s="41">
        <v>37.915340921472648</v>
      </c>
      <c r="F606" s="44">
        <f t="shared" si="9"/>
        <v>6.2827475069086063</v>
      </c>
      <c r="G606" s="35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</row>
    <row r="607" spans="1:45" s="12" customFormat="1">
      <c r="A607" s="23">
        <v>776</v>
      </c>
      <c r="B607" s="42">
        <v>1.55</v>
      </c>
      <c r="C607" s="43">
        <v>0.49249999999999999</v>
      </c>
      <c r="D607" s="41">
        <v>57.750286136417571</v>
      </c>
      <c r="E607" s="41">
        <v>36.211275479857591</v>
      </c>
      <c r="F607" s="44">
        <f t="shared" si="9"/>
        <v>6.0384383837248379</v>
      </c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</row>
    <row r="608" spans="1:45" s="13" customFormat="1">
      <c r="A608" s="21" t="s">
        <v>92</v>
      </c>
      <c r="B608" s="42">
        <v>1.72</v>
      </c>
      <c r="C608" s="43">
        <v>0.47799999999999998</v>
      </c>
      <c r="D608" s="41">
        <v>58.04035141003282</v>
      </c>
      <c r="E608" s="41">
        <v>35.900914756042447</v>
      </c>
      <c r="F608" s="44">
        <f t="shared" si="9"/>
        <v>6.0587338339247339</v>
      </c>
      <c r="G608" s="35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</row>
    <row r="609" spans="1:45" s="13" customFormat="1">
      <c r="A609" s="24" t="s">
        <v>93</v>
      </c>
      <c r="B609" s="42">
        <v>1.62</v>
      </c>
      <c r="C609" s="52">
        <v>0.441</v>
      </c>
      <c r="D609" s="41">
        <v>54.976758140696028</v>
      </c>
      <c r="E609" s="41">
        <v>39.195371815734696</v>
      </c>
      <c r="F609" s="44">
        <f t="shared" si="9"/>
        <v>5.827870043569277</v>
      </c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</row>
    <row r="610" spans="1:45" s="13" customFormat="1">
      <c r="A610" s="24" t="s">
        <v>94</v>
      </c>
      <c r="B610" s="42">
        <v>1.9</v>
      </c>
      <c r="C610" s="52">
        <v>0.437</v>
      </c>
      <c r="D610" s="41">
        <v>60.693688798626752</v>
      </c>
      <c r="E610" s="41">
        <v>32.511839451901167</v>
      </c>
      <c r="F610" s="44">
        <f t="shared" si="9"/>
        <v>6.7944717494720805</v>
      </c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</row>
    <row r="611" spans="1:45" s="13" customFormat="1">
      <c r="A611" s="24" t="s">
        <v>95</v>
      </c>
      <c r="B611" s="42">
        <v>1.48</v>
      </c>
      <c r="C611" s="52">
        <v>0.45100000000000001</v>
      </c>
      <c r="D611" s="41">
        <v>60.556728171590613</v>
      </c>
      <c r="E611" s="41">
        <v>32.510306175160999</v>
      </c>
      <c r="F611" s="44">
        <f t="shared" si="9"/>
        <v>6.9329656532483881</v>
      </c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</row>
    <row r="612" spans="1:45" s="13" customFormat="1">
      <c r="A612" s="24" t="s">
        <v>96</v>
      </c>
      <c r="B612" s="42">
        <v>1.45</v>
      </c>
      <c r="C612" s="52">
        <v>0.44400000000000001</v>
      </c>
      <c r="D612" s="41">
        <v>60.186880923287831</v>
      </c>
      <c r="E612" s="41">
        <v>33.345879126310038</v>
      </c>
      <c r="F612" s="44">
        <f t="shared" si="9"/>
        <v>6.4672399504021314</v>
      </c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</row>
    <row r="613" spans="1:45" s="13" customFormat="1">
      <c r="A613" s="24" t="s">
        <v>97</v>
      </c>
      <c r="B613" s="42">
        <v>1.69</v>
      </c>
      <c r="C613" s="52">
        <v>0.52800000000000002</v>
      </c>
      <c r="D613" s="41">
        <v>51.378308961874907</v>
      </c>
      <c r="E613" s="41">
        <v>41.697255993708978</v>
      </c>
      <c r="F613" s="44">
        <f t="shared" si="9"/>
        <v>6.9244350444161142</v>
      </c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</row>
    <row r="614" spans="1:45" s="13" customFormat="1">
      <c r="A614" s="24" t="s">
        <v>98</v>
      </c>
      <c r="B614" s="42">
        <v>1.97</v>
      </c>
      <c r="C614" s="52">
        <v>0.48299999999999998</v>
      </c>
      <c r="D614" s="41">
        <v>54.925245298072845</v>
      </c>
      <c r="E614" s="41">
        <v>39.690738488762172</v>
      </c>
      <c r="F614" s="44">
        <f t="shared" si="9"/>
        <v>5.3840162131649834</v>
      </c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</row>
    <row r="615" spans="1:45" s="13" customFormat="1" ht="13.5" customHeight="1">
      <c r="A615" s="24" t="s">
        <v>99</v>
      </c>
      <c r="B615" s="42">
        <v>1.55</v>
      </c>
      <c r="C615" s="52">
        <v>0.46300000000000002</v>
      </c>
      <c r="D615" s="41">
        <v>55.232790740275874</v>
      </c>
      <c r="E615" s="41">
        <v>37.940661151820279</v>
      </c>
      <c r="F615" s="44">
        <f t="shared" si="9"/>
        <v>6.8265481079038466</v>
      </c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</row>
    <row r="616" spans="1:45" s="13" customFormat="1">
      <c r="A616" s="24" t="s">
        <v>100</v>
      </c>
      <c r="B616" s="42">
        <v>1.72</v>
      </c>
      <c r="C616" s="52">
        <v>0.46600000000000003</v>
      </c>
      <c r="D616" s="41">
        <v>55.369510806244257</v>
      </c>
      <c r="E616" s="41">
        <v>41.619351326565329</v>
      </c>
      <c r="F616" s="44">
        <f t="shared" si="9"/>
        <v>3.0111378671904134</v>
      </c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</row>
    <row r="617" spans="1:45" s="13" customFormat="1">
      <c r="A617" s="24" t="s">
        <v>101</v>
      </c>
      <c r="B617" s="42">
        <v>1.9</v>
      </c>
      <c r="C617" s="52">
        <v>0.42599999999999999</v>
      </c>
      <c r="D617" s="41">
        <v>54.389614207927316</v>
      </c>
      <c r="E617" s="41">
        <v>38.688908153753708</v>
      </c>
      <c r="F617" s="44">
        <f t="shared" si="9"/>
        <v>6.9214776383189758</v>
      </c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</row>
    <row r="618" spans="1:45" s="13" customFormat="1">
      <c r="A618" s="24" t="s">
        <v>102</v>
      </c>
      <c r="B618" s="42">
        <v>1.48</v>
      </c>
      <c r="C618" s="52">
        <v>0.42199999999999999</v>
      </c>
      <c r="D618" s="41">
        <v>54.442435148207601</v>
      </c>
      <c r="E618" s="41">
        <v>38.832923592732037</v>
      </c>
      <c r="F618" s="44">
        <f t="shared" si="9"/>
        <v>6.7246412590603626</v>
      </c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</row>
    <row r="619" spans="1:45" s="13" customFormat="1">
      <c r="A619" s="24" t="s">
        <v>103</v>
      </c>
      <c r="B619" s="42">
        <v>1.59</v>
      </c>
      <c r="C619" s="52">
        <v>0.58699999999999997</v>
      </c>
      <c r="D619" s="41">
        <v>41.006863893730795</v>
      </c>
      <c r="E619" s="41">
        <v>56.622514318394948</v>
      </c>
      <c r="F619" s="44">
        <f t="shared" si="9"/>
        <v>2.3706217878742564</v>
      </c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</row>
    <row r="620" spans="1:45" s="10" customFormat="1">
      <c r="A620" s="20">
        <v>789</v>
      </c>
      <c r="B620" s="42">
        <v>1.66</v>
      </c>
      <c r="C620" s="43">
        <v>0.57299999999999995</v>
      </c>
      <c r="D620" s="41">
        <v>42.258280001127204</v>
      </c>
      <c r="E620" s="41">
        <v>55.957537969292915</v>
      </c>
      <c r="F620" s="44">
        <f t="shared" si="9"/>
        <v>1.7841820295798811</v>
      </c>
      <c r="G620" s="7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</row>
    <row r="621" spans="1:45" s="10" customFormat="1">
      <c r="A621" s="20">
        <v>790</v>
      </c>
      <c r="B621" s="42">
        <v>1.28</v>
      </c>
      <c r="C621" s="43">
        <v>0.59499999999999997</v>
      </c>
      <c r="D621" s="41">
        <v>41.015623408987281</v>
      </c>
      <c r="E621" s="41">
        <v>56.61679013554749</v>
      </c>
      <c r="F621" s="44">
        <f t="shared" si="9"/>
        <v>2.3675864554652293</v>
      </c>
      <c r="G621" s="7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</row>
    <row r="622" spans="1:45" s="10" customFormat="1">
      <c r="A622" s="20">
        <v>791</v>
      </c>
      <c r="B622" s="42">
        <v>0.9</v>
      </c>
      <c r="C622" s="43">
        <v>0.61299999999999999</v>
      </c>
      <c r="D622" s="41">
        <v>41.823877602752738</v>
      </c>
      <c r="E622" s="41">
        <v>56.708975182622659</v>
      </c>
      <c r="F622" s="44">
        <f t="shared" si="9"/>
        <v>1.4671472146246032</v>
      </c>
      <c r="G622" s="7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</row>
    <row r="623" spans="1:45" s="10" customFormat="1">
      <c r="A623" s="20">
        <v>792</v>
      </c>
      <c r="B623" s="42">
        <v>1.1000000000000001</v>
      </c>
      <c r="C623" s="43">
        <v>0.61299999999999999</v>
      </c>
      <c r="D623" s="41">
        <v>40.74950815548253</v>
      </c>
      <c r="E623" s="41">
        <v>57.769375084903217</v>
      </c>
      <c r="F623" s="44">
        <f t="shared" si="9"/>
        <v>1.4811167596142525</v>
      </c>
      <c r="G623" s="7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</row>
    <row r="624" spans="1:45" s="10" customFormat="1">
      <c r="A624" s="20">
        <v>793</v>
      </c>
      <c r="B624" s="42">
        <v>0.97</v>
      </c>
      <c r="C624" s="43">
        <v>0.61299999999999999</v>
      </c>
      <c r="D624" s="41">
        <v>38.002043492575247</v>
      </c>
      <c r="E624" s="41">
        <v>58.798628591865487</v>
      </c>
      <c r="F624" s="44">
        <f t="shared" si="9"/>
        <v>3.199327915559266</v>
      </c>
      <c r="G624" s="7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</row>
    <row r="625" spans="1:45" s="13" customFormat="1">
      <c r="A625" s="21" t="s">
        <v>104</v>
      </c>
      <c r="B625" s="42">
        <v>0.53</v>
      </c>
      <c r="C625" s="43">
        <v>0.63900000000000001</v>
      </c>
      <c r="D625" s="41">
        <v>41.030928617858144</v>
      </c>
      <c r="E625" s="41">
        <v>55.130593789111764</v>
      </c>
      <c r="F625" s="44">
        <f t="shared" si="9"/>
        <v>3.8384775930300918</v>
      </c>
      <c r="G625" s="35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</row>
    <row r="626" spans="1:45" s="13" customFormat="1">
      <c r="A626" s="24" t="s">
        <v>105</v>
      </c>
      <c r="B626" s="42">
        <v>1.59</v>
      </c>
      <c r="C626" s="52">
        <v>0.55300000000000005</v>
      </c>
      <c r="D626" s="41">
        <v>41.975328949040538</v>
      </c>
      <c r="E626" s="41">
        <v>55.134365267807603</v>
      </c>
      <c r="F626" s="44">
        <f t="shared" si="9"/>
        <v>2.8903057831518595</v>
      </c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</row>
    <row r="627" spans="1:45" s="13" customFormat="1">
      <c r="A627" s="24" t="s">
        <v>106</v>
      </c>
      <c r="B627" s="42">
        <v>1.66</v>
      </c>
      <c r="C627" s="52">
        <v>0.56899999999999995</v>
      </c>
      <c r="D627" s="41">
        <v>48.552664445960112</v>
      </c>
      <c r="E627" s="41">
        <v>49.797866942250515</v>
      </c>
      <c r="F627" s="44">
        <f t="shared" si="9"/>
        <v>1.6494686117893735</v>
      </c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</row>
    <row r="628" spans="1:45" s="13" customFormat="1">
      <c r="A628" s="24" t="s">
        <v>107</v>
      </c>
      <c r="B628" s="42">
        <v>1.28</v>
      </c>
      <c r="C628" s="52">
        <v>0.58399999999999996</v>
      </c>
      <c r="D628" s="41">
        <v>46.313065524181887</v>
      </c>
      <c r="E628" s="41">
        <v>52.083989655303633</v>
      </c>
      <c r="F628" s="44">
        <f t="shared" si="9"/>
        <v>1.6029448205144803</v>
      </c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</row>
    <row r="629" spans="1:45" s="13" customFormat="1">
      <c r="A629" s="24" t="s">
        <v>108</v>
      </c>
      <c r="B629" s="42">
        <v>0.9</v>
      </c>
      <c r="C629" s="52">
        <v>0.59399999999999997</v>
      </c>
      <c r="D629" s="41">
        <v>48.0707017947582</v>
      </c>
      <c r="E629" s="41">
        <v>50.235790671186855</v>
      </c>
      <c r="F629" s="44">
        <f t="shared" si="9"/>
        <v>1.6935075340549446</v>
      </c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</row>
    <row r="630" spans="1:45" s="13" customFormat="1">
      <c r="A630" s="24" t="s">
        <v>109</v>
      </c>
      <c r="B630" s="42">
        <v>1.1000000000000001</v>
      </c>
      <c r="C630" s="52">
        <v>0.60099999999999998</v>
      </c>
      <c r="D630" s="41">
        <v>42.453390003138978</v>
      </c>
      <c r="E630" s="41">
        <v>55.916433820529619</v>
      </c>
      <c r="F630" s="44">
        <f t="shared" si="9"/>
        <v>1.6301761763314033</v>
      </c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</row>
    <row r="631" spans="1:45" s="13" customFormat="1">
      <c r="A631" s="24" t="s">
        <v>110</v>
      </c>
      <c r="B631" s="42">
        <v>0.97</v>
      </c>
      <c r="C631" s="52">
        <v>0.60199999999999998</v>
      </c>
      <c r="D631" s="41">
        <v>41.899995423426176</v>
      </c>
      <c r="E631" s="41">
        <v>56.631050059623092</v>
      </c>
      <c r="F631" s="44">
        <f t="shared" si="9"/>
        <v>1.4689545169507312</v>
      </c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</row>
    <row r="632" spans="1:45" s="13" customFormat="1">
      <c r="A632" s="24" t="s">
        <v>111</v>
      </c>
      <c r="B632" s="42">
        <v>0.53</v>
      </c>
      <c r="C632" s="52">
        <v>0.59299999999999997</v>
      </c>
      <c r="D632" s="41">
        <v>41.686100342328992</v>
      </c>
      <c r="E632" s="41">
        <v>56.706546340955079</v>
      </c>
      <c r="F632" s="44">
        <f t="shared" si="9"/>
        <v>1.6073533167159297</v>
      </c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</row>
    <row r="633" spans="1:45" s="13" customFormat="1">
      <c r="A633" s="24" t="s">
        <v>112</v>
      </c>
      <c r="B633" s="42">
        <v>2.34</v>
      </c>
      <c r="C633" s="52">
        <v>0.46800000000000003</v>
      </c>
      <c r="D633" s="41">
        <v>38.570154063626141</v>
      </c>
      <c r="E633" s="41">
        <v>60.851126225084379</v>
      </c>
      <c r="F633" s="44">
        <f t="shared" si="9"/>
        <v>0.57871971128948019</v>
      </c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</row>
    <row r="634" spans="1:45" s="13" customFormat="1">
      <c r="A634" s="24" t="s">
        <v>113</v>
      </c>
      <c r="B634" s="42">
        <v>2.1800000000000002</v>
      </c>
      <c r="C634" s="52">
        <v>0.50600000000000001</v>
      </c>
      <c r="D634" s="41">
        <v>41.515247182050807</v>
      </c>
      <c r="E634" s="41">
        <v>57.81220710847645</v>
      </c>
      <c r="F634" s="44">
        <f t="shared" si="9"/>
        <v>0.67254570947274317</v>
      </c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</row>
    <row r="635" spans="1:45" s="13" customFormat="1">
      <c r="A635" s="24" t="s">
        <v>114</v>
      </c>
      <c r="B635" s="42">
        <v>1.31</v>
      </c>
      <c r="C635" s="52">
        <v>0.42009999999999997</v>
      </c>
      <c r="D635" s="41">
        <v>51.20213107359173</v>
      </c>
      <c r="E635" s="41">
        <v>48.450546764490667</v>
      </c>
      <c r="F635" s="44">
        <f t="shared" si="9"/>
        <v>0.34732216191760301</v>
      </c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</row>
    <row r="636" spans="1:45" s="10" customFormat="1">
      <c r="A636" s="20">
        <v>805</v>
      </c>
      <c r="B636" s="42">
        <v>1.47</v>
      </c>
      <c r="C636" s="43">
        <v>0.44600000000000001</v>
      </c>
      <c r="D636" s="41">
        <v>62.931128881732299</v>
      </c>
      <c r="E636" s="41">
        <v>36.656194767338583</v>
      </c>
      <c r="F636" s="44">
        <f t="shared" si="9"/>
        <v>0.41267635092911803</v>
      </c>
      <c r="G636" s="7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</row>
    <row r="637" spans="1:45" s="13" customFormat="1">
      <c r="A637" s="21" t="s">
        <v>115</v>
      </c>
      <c r="B637" s="42">
        <v>1.17</v>
      </c>
      <c r="C637" s="43">
        <v>0.46200000000000002</v>
      </c>
      <c r="D637" s="41">
        <v>63.021112153287419</v>
      </c>
      <c r="E637" s="41">
        <v>36.414708027434244</v>
      </c>
      <c r="F637" s="44">
        <f t="shared" si="9"/>
        <v>0.56417981927833694</v>
      </c>
      <c r="G637" s="35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</row>
    <row r="638" spans="1:45" s="10" customFormat="1">
      <c r="A638" s="20">
        <v>807</v>
      </c>
      <c r="B638" s="42">
        <v>1.24</v>
      </c>
      <c r="C638" s="43">
        <v>0.502</v>
      </c>
      <c r="D638" s="41">
        <v>61.702069388824199</v>
      </c>
      <c r="E638" s="41">
        <v>37.623949324984338</v>
      </c>
      <c r="F638" s="44">
        <f t="shared" si="9"/>
        <v>0.67398128619146291</v>
      </c>
      <c r="G638" s="7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</row>
    <row r="639" spans="1:45" s="10" customFormat="1">
      <c r="A639" s="20">
        <v>808</v>
      </c>
      <c r="B639" s="42">
        <v>1.1000000000000001</v>
      </c>
      <c r="C639" s="43">
        <v>0.52500000000000002</v>
      </c>
      <c r="D639" s="41">
        <v>47.606887364484699</v>
      </c>
      <c r="E639" s="41">
        <v>51.787920311153648</v>
      </c>
      <c r="F639" s="44">
        <f t="shared" si="9"/>
        <v>0.60519232436165282</v>
      </c>
      <c r="G639" s="7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</row>
    <row r="640" spans="1:45" s="10" customFormat="1">
      <c r="A640" s="20">
        <v>809</v>
      </c>
      <c r="B640" s="42">
        <v>1.1399999999999999</v>
      </c>
      <c r="C640" s="43">
        <v>0.52400000000000002</v>
      </c>
      <c r="D640" s="41">
        <v>43.813993010133622</v>
      </c>
      <c r="E640" s="41">
        <v>55.272317252913844</v>
      </c>
      <c r="F640" s="44">
        <f t="shared" si="9"/>
        <v>0.9136897369525343</v>
      </c>
      <c r="G640" s="7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</row>
    <row r="641" spans="1:45" s="10" customFormat="1">
      <c r="A641" s="20">
        <v>810</v>
      </c>
      <c r="B641" s="42">
        <v>1</v>
      </c>
      <c r="C641" s="43">
        <v>0.48</v>
      </c>
      <c r="D641" s="41">
        <v>45.970358732093779</v>
      </c>
      <c r="E641" s="41">
        <v>53.519416479398949</v>
      </c>
      <c r="F641" s="44">
        <f t="shared" si="9"/>
        <v>0.51022478850727282</v>
      </c>
      <c r="G641" s="7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</row>
    <row r="642" spans="1:45" s="13" customFormat="1">
      <c r="A642" s="21" t="s">
        <v>116</v>
      </c>
      <c r="B642" s="42">
        <v>2.34</v>
      </c>
      <c r="C642" s="43">
        <v>0.441</v>
      </c>
      <c r="D642" s="41">
        <v>37.60558137341404</v>
      </c>
      <c r="E642" s="41">
        <v>58.465837327995516</v>
      </c>
      <c r="F642" s="44">
        <f t="shared" si="9"/>
        <v>3.9285812985904442</v>
      </c>
      <c r="G642" s="35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</row>
    <row r="643" spans="1:45" s="13" customFormat="1">
      <c r="A643" s="24" t="s">
        <v>117</v>
      </c>
      <c r="B643" s="42">
        <v>2.1800000000000002</v>
      </c>
      <c r="C643" s="52">
        <v>0.433</v>
      </c>
      <c r="D643" s="41">
        <v>50.322837906368591</v>
      </c>
      <c r="E643" s="41">
        <v>47.634523814947499</v>
      </c>
      <c r="F643" s="44">
        <f t="shared" si="9"/>
        <v>2.0426382786839099</v>
      </c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</row>
    <row r="644" spans="1:45" s="13" customFormat="1">
      <c r="A644" s="24" t="s">
        <v>118</v>
      </c>
      <c r="B644" s="42">
        <v>1.31</v>
      </c>
      <c r="C644" s="52">
        <v>0.432</v>
      </c>
      <c r="D644" s="41">
        <v>58.372833451560979</v>
      </c>
      <c r="E644" s="41">
        <v>40.518751356274706</v>
      </c>
      <c r="F644" s="44">
        <f t="shared" si="9"/>
        <v>1.1084151921643155</v>
      </c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</row>
    <row r="645" spans="1:45" s="13" customFormat="1">
      <c r="A645" s="24" t="s">
        <v>119</v>
      </c>
      <c r="B645" s="42">
        <v>1.47</v>
      </c>
      <c r="C645" s="52">
        <v>0.44600000000000001</v>
      </c>
      <c r="D645" s="41">
        <v>58.632259826918528</v>
      </c>
      <c r="E645" s="41">
        <v>40.783435809973653</v>
      </c>
      <c r="F645" s="44">
        <f t="shared" ref="F645:F660" si="10">100-D645-E645</f>
        <v>0.58430436310781886</v>
      </c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</row>
    <row r="646" spans="1:45" s="13" customFormat="1">
      <c r="A646" s="24" t="s">
        <v>120</v>
      </c>
      <c r="B646" s="42">
        <v>1.17</v>
      </c>
      <c r="C646" s="52">
        <v>0.52300000000000002</v>
      </c>
      <c r="D646" s="41">
        <v>55.918899496368034</v>
      </c>
      <c r="E646" s="41">
        <v>43.642829664161205</v>
      </c>
      <c r="F646" s="44">
        <f t="shared" si="10"/>
        <v>0.43827083947076062</v>
      </c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</row>
    <row r="647" spans="1:45" s="13" customFormat="1">
      <c r="A647" s="24" t="s">
        <v>121</v>
      </c>
      <c r="B647" s="42">
        <v>1.24</v>
      </c>
      <c r="C647" s="52">
        <v>0.53800000000000003</v>
      </c>
      <c r="D647" s="41">
        <v>50.626473732778152</v>
      </c>
      <c r="E647" s="41">
        <v>47.938112815903906</v>
      </c>
      <c r="F647" s="44">
        <f t="shared" si="10"/>
        <v>1.4354134513179417</v>
      </c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</row>
    <row r="648" spans="1:45" s="13" customFormat="1">
      <c r="A648" s="24" t="s">
        <v>122</v>
      </c>
      <c r="B648" s="42">
        <v>1.1000000000000001</v>
      </c>
      <c r="C648" s="52">
        <v>0.55000000000000004</v>
      </c>
      <c r="D648" s="41">
        <v>45.070033906940331</v>
      </c>
      <c r="E648" s="41">
        <v>54.162109364835409</v>
      </c>
      <c r="F648" s="44">
        <f t="shared" si="10"/>
        <v>0.76785672822425965</v>
      </c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</row>
    <row r="649" spans="1:45" s="13" customFormat="1">
      <c r="A649" s="24" t="s">
        <v>123</v>
      </c>
      <c r="B649" s="42">
        <v>1.1399999999999999</v>
      </c>
      <c r="C649" s="52">
        <v>0.52700000000000002</v>
      </c>
      <c r="D649" s="41">
        <v>46.778260140426816</v>
      </c>
      <c r="E649" s="41">
        <v>52.590462338370422</v>
      </c>
      <c r="F649" s="44">
        <f t="shared" si="10"/>
        <v>0.6312775212027617</v>
      </c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</row>
    <row r="650" spans="1:45" s="10" customFormat="1">
      <c r="A650" s="20">
        <v>819</v>
      </c>
      <c r="B650" s="42">
        <v>1.97</v>
      </c>
      <c r="C650" s="43">
        <v>0.55500000000000005</v>
      </c>
      <c r="D650" s="41">
        <v>51.278043749892447</v>
      </c>
      <c r="E650" s="41">
        <v>48.132297501903068</v>
      </c>
      <c r="F650" s="44">
        <f t="shared" si="10"/>
        <v>0.58965874820448505</v>
      </c>
      <c r="G650" s="7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</row>
    <row r="651" spans="1:45" s="13" customFormat="1">
      <c r="A651" s="21" t="s">
        <v>124</v>
      </c>
      <c r="B651" s="42">
        <v>1.86</v>
      </c>
      <c r="C651" s="43">
        <v>0.55500000000000005</v>
      </c>
      <c r="D651" s="41">
        <v>51.310414844843152</v>
      </c>
      <c r="E651" s="41">
        <v>48.082512071546432</v>
      </c>
      <c r="F651" s="44">
        <f t="shared" si="10"/>
        <v>0.60707308361041612</v>
      </c>
      <c r="G651" s="35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</row>
    <row r="652" spans="1:45" s="13" customFormat="1">
      <c r="A652" s="24" t="s">
        <v>125</v>
      </c>
      <c r="B652" s="42">
        <v>1.67</v>
      </c>
      <c r="C652" s="52">
        <v>0.54200000000000004</v>
      </c>
      <c r="D652" s="41">
        <v>55.942491471876785</v>
      </c>
      <c r="E652" s="41">
        <v>43.366793145650114</v>
      </c>
      <c r="F652" s="44">
        <f t="shared" si="10"/>
        <v>0.69071538247310116</v>
      </c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</row>
    <row r="653" spans="1:45" s="13" customFormat="1">
      <c r="A653" s="24" t="s">
        <v>126</v>
      </c>
      <c r="B653" s="42">
        <v>1.1399999999999999</v>
      </c>
      <c r="C653" s="52">
        <v>0.52400000000000002</v>
      </c>
      <c r="D653" s="41">
        <v>63.466959661713283</v>
      </c>
      <c r="E653" s="41">
        <v>36.416846704148746</v>
      </c>
      <c r="F653" s="44">
        <f t="shared" si="10"/>
        <v>0.11619363413797146</v>
      </c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</row>
    <row r="654" spans="1:45" s="10" customFormat="1">
      <c r="A654" s="20">
        <v>823</v>
      </c>
      <c r="B654" s="42">
        <v>0.81</v>
      </c>
      <c r="C654" s="43">
        <v>0.55400000000000005</v>
      </c>
      <c r="D654" s="41">
        <v>67.18740965318986</v>
      </c>
      <c r="E654" s="41">
        <v>32.771427634519881</v>
      </c>
      <c r="F654" s="44">
        <f t="shared" si="10"/>
        <v>4.1162712290258696E-2</v>
      </c>
      <c r="G654" s="7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</row>
    <row r="655" spans="1:45" s="13" customFormat="1">
      <c r="A655" s="21" t="s">
        <v>127</v>
      </c>
      <c r="B655" s="42">
        <v>0.91</v>
      </c>
      <c r="C655" s="43">
        <v>0.56299999999999994</v>
      </c>
      <c r="D655" s="41">
        <v>66.494399474966812</v>
      </c>
      <c r="E655" s="41">
        <v>33.477166806288906</v>
      </c>
      <c r="F655" s="44">
        <f t="shared" si="10"/>
        <v>2.8433718744281578E-2</v>
      </c>
      <c r="G655" s="35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</row>
    <row r="656" spans="1:45" s="10" customFormat="1">
      <c r="A656" s="20">
        <v>825</v>
      </c>
      <c r="B656" s="42">
        <v>0.72</v>
      </c>
      <c r="C656" s="43">
        <v>0.56200000000000006</v>
      </c>
      <c r="D656" s="41">
        <v>60.693024427580255</v>
      </c>
      <c r="E656" s="41">
        <v>39.234529179234983</v>
      </c>
      <c r="F656" s="44">
        <f t="shared" si="10"/>
        <v>7.2446393184762314E-2</v>
      </c>
      <c r="G656" s="7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</row>
    <row r="657" spans="1:45" s="13" customFormat="1">
      <c r="A657" s="21" t="s">
        <v>128</v>
      </c>
      <c r="B657" s="42">
        <v>0.72</v>
      </c>
      <c r="C657" s="43">
        <v>0.54900000000000004</v>
      </c>
      <c r="D657" s="41">
        <v>58.573932087542403</v>
      </c>
      <c r="E657" s="41">
        <v>41.356159124422334</v>
      </c>
      <c r="F657" s="44">
        <f t="shared" si="10"/>
        <v>6.9908788035263569E-2</v>
      </c>
      <c r="G657" s="35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</row>
    <row r="658" spans="1:45" s="13" customFormat="1">
      <c r="A658" s="24" t="s">
        <v>129</v>
      </c>
      <c r="B658" s="42">
        <v>1.97</v>
      </c>
      <c r="C658" s="52">
        <v>0.54400000000000004</v>
      </c>
      <c r="D658" s="41">
        <v>61.508585520691064</v>
      </c>
      <c r="E658" s="41">
        <v>37.688960717537149</v>
      </c>
      <c r="F658" s="44">
        <f t="shared" si="10"/>
        <v>0.80245376177178684</v>
      </c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</row>
    <row r="659" spans="1:45" s="13" customFormat="1">
      <c r="A659" s="24" t="s">
        <v>130</v>
      </c>
      <c r="B659" s="42">
        <v>1.86</v>
      </c>
      <c r="C659" s="52">
        <v>0.51100000000000001</v>
      </c>
      <c r="D659" s="41">
        <v>55.748515686296585</v>
      </c>
      <c r="E659" s="41">
        <v>42.992149424894066</v>
      </c>
      <c r="F659" s="44">
        <f t="shared" si="10"/>
        <v>1.2593348888093487</v>
      </c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</row>
    <row r="660" spans="1:45" s="13" customFormat="1">
      <c r="A660" s="24" t="s">
        <v>131</v>
      </c>
      <c r="B660" s="42">
        <v>1.67</v>
      </c>
      <c r="C660" s="52">
        <v>0.502</v>
      </c>
      <c r="D660" s="41">
        <v>64.970277132226101</v>
      </c>
      <c r="E660" s="41">
        <v>33.997651062426115</v>
      </c>
      <c r="F660" s="44">
        <f t="shared" si="10"/>
        <v>1.0320718053477833</v>
      </c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</row>
    <row r="661" spans="1:45" s="13" customFormat="1">
      <c r="A661" s="24" t="s">
        <v>132</v>
      </c>
      <c r="B661" s="42">
        <v>1.1399999999999999</v>
      </c>
      <c r="C661" s="52">
        <v>0.52400000000000002</v>
      </c>
      <c r="D661" s="41">
        <v>68.860944531303119</v>
      </c>
      <c r="E661" s="41">
        <v>30.744448394219091</v>
      </c>
      <c r="F661" s="44">
        <f>100-D661-E661</f>
        <v>0.39460707447778987</v>
      </c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</row>
    <row r="662" spans="1:45" s="13" customFormat="1">
      <c r="A662" s="24" t="s">
        <v>133</v>
      </c>
      <c r="B662" s="42">
        <v>0.81</v>
      </c>
      <c r="C662" s="52">
        <v>0.52900000000000003</v>
      </c>
      <c r="D662" s="41">
        <v>69.031073128591061</v>
      </c>
      <c r="E662" s="41">
        <v>30.434326098691159</v>
      </c>
      <c r="F662" s="44">
        <f>100-D662-E662</f>
        <v>0.53460077271778061</v>
      </c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</row>
    <row r="663" spans="1:45" s="15" customFormat="1">
      <c r="A663" s="25" t="s">
        <v>134</v>
      </c>
      <c r="B663" s="54">
        <v>0.91</v>
      </c>
      <c r="C663" s="55">
        <v>0.54500000000000004</v>
      </c>
      <c r="D663" s="53">
        <v>62.814224405136052</v>
      </c>
      <c r="E663" s="53">
        <v>36.604299967911821</v>
      </c>
      <c r="F663" s="56">
        <f>100-D663-E663</f>
        <v>0.58147562695212685</v>
      </c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</row>
    <row r="664" spans="1:45" s="16" customFormat="1">
      <c r="A664" s="5"/>
      <c r="B664" s="8"/>
      <c r="C664" s="6"/>
      <c r="D664" s="8"/>
      <c r="E664" s="8"/>
      <c r="F664" s="8"/>
      <c r="G664" s="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</row>
    <row r="665" spans="1:45" s="7" customFormat="1">
      <c r="A665" s="5"/>
      <c r="B665" s="8"/>
      <c r="C665" s="4"/>
      <c r="D665" s="8"/>
      <c r="E665" s="8"/>
      <c r="F665" s="8"/>
      <c r="G665" s="5"/>
    </row>
    <row r="666" spans="1:45" s="7" customFormat="1">
      <c r="A666" s="5"/>
      <c r="B666" s="8"/>
      <c r="C666" s="4"/>
      <c r="D666" s="8"/>
      <c r="E666" s="8"/>
      <c r="F666" s="8"/>
      <c r="G666" s="5"/>
    </row>
    <row r="667" spans="1:45" s="7" customFormat="1">
      <c r="A667" s="5"/>
      <c r="B667" s="8"/>
      <c r="C667" s="4"/>
      <c r="D667" s="8"/>
      <c r="E667" s="8"/>
      <c r="F667" s="8"/>
      <c r="G667" s="5"/>
    </row>
    <row r="668" spans="1:45" s="7" customFormat="1">
      <c r="A668" s="5"/>
      <c r="B668" s="8"/>
      <c r="C668" s="4"/>
      <c r="D668" s="8"/>
      <c r="E668" s="8"/>
      <c r="F668" s="8"/>
      <c r="G668" s="5"/>
    </row>
    <row r="669" spans="1:45" s="7" customFormat="1">
      <c r="A669" s="5"/>
      <c r="B669" s="8"/>
      <c r="C669" s="4"/>
      <c r="D669" s="8"/>
      <c r="E669" s="8"/>
      <c r="F669" s="8"/>
      <c r="G669" s="5"/>
    </row>
    <row r="670" spans="1:45" s="7" customFormat="1">
      <c r="A670" s="5"/>
      <c r="B670" s="8"/>
      <c r="C670" s="4"/>
      <c r="D670" s="8"/>
      <c r="E670" s="8"/>
      <c r="F670" s="8"/>
      <c r="G670" s="5"/>
    </row>
    <row r="671" spans="1:45">
      <c r="A671" s="5"/>
      <c r="B671" s="8"/>
      <c r="C671" s="4"/>
      <c r="D671" s="8"/>
      <c r="E671" s="8"/>
      <c r="F671" s="8"/>
    </row>
    <row r="672" spans="1:45">
      <c r="A672" s="5"/>
      <c r="B672" s="8"/>
      <c r="C672" s="4"/>
      <c r="D672" s="8"/>
      <c r="E672" s="8"/>
      <c r="F672" s="8"/>
    </row>
    <row r="673" spans="1:6">
      <c r="A673" s="5"/>
      <c r="B673" s="8"/>
      <c r="C673" s="4"/>
      <c r="D673" s="8"/>
      <c r="E673" s="8"/>
      <c r="F673" s="8"/>
    </row>
    <row r="674" spans="1:6">
      <c r="A674" s="5"/>
      <c r="B674" s="8"/>
      <c r="C674" s="4"/>
      <c r="D674" s="8"/>
      <c r="E674" s="8"/>
      <c r="F674" s="8"/>
    </row>
    <row r="675" spans="1:6">
      <c r="A675" s="5"/>
      <c r="B675" s="8"/>
      <c r="C675" s="4"/>
      <c r="D675" s="8"/>
      <c r="E675" s="8"/>
      <c r="F675" s="8"/>
    </row>
    <row r="676" spans="1:6">
      <c r="A676" s="5"/>
      <c r="B676" s="8"/>
      <c r="C676" s="4"/>
      <c r="D676" s="8"/>
      <c r="E676" s="8"/>
      <c r="F676" s="8"/>
    </row>
    <row r="677" spans="1:6">
      <c r="A677" s="5"/>
      <c r="B677" s="8"/>
      <c r="C677" s="4"/>
      <c r="D677" s="8"/>
      <c r="E677" s="8"/>
      <c r="F677" s="8"/>
    </row>
    <row r="678" spans="1:6">
      <c r="A678" s="5"/>
      <c r="B678" s="8"/>
      <c r="C678" s="4"/>
      <c r="D678" s="8"/>
      <c r="E678" s="8"/>
      <c r="F678" s="8"/>
    </row>
    <row r="679" spans="1:6">
      <c r="A679" s="5"/>
      <c r="B679" s="8"/>
      <c r="C679" s="4"/>
      <c r="D679" s="8"/>
      <c r="E679" s="8"/>
      <c r="F679" s="8"/>
    </row>
    <row r="680" spans="1:6">
      <c r="A680" s="5"/>
      <c r="B680" s="8"/>
      <c r="C680" s="4"/>
      <c r="D680" s="8"/>
      <c r="E680" s="8"/>
      <c r="F680" s="8"/>
    </row>
    <row r="681" spans="1:6">
      <c r="A681" s="5"/>
      <c r="B681" s="8"/>
      <c r="C681" s="4"/>
      <c r="D681" s="8"/>
      <c r="E681" s="8"/>
      <c r="F681" s="8"/>
    </row>
    <row r="682" spans="1:6">
      <c r="A682" s="5"/>
      <c r="B682" s="8"/>
      <c r="C682" s="4"/>
      <c r="D682" s="8"/>
      <c r="E682" s="8"/>
      <c r="F682" s="8"/>
    </row>
    <row r="683" spans="1:6">
      <c r="A683" s="5"/>
      <c r="B683" s="8"/>
      <c r="C683" s="4"/>
      <c r="D683" s="8"/>
      <c r="E683" s="8"/>
      <c r="F683" s="8"/>
    </row>
    <row r="684" spans="1:6">
      <c r="A684" s="5"/>
      <c r="B684" s="8"/>
      <c r="C684" s="4"/>
      <c r="D684" s="8"/>
      <c r="E684" s="8"/>
      <c r="F684" s="8"/>
    </row>
    <row r="685" spans="1:6">
      <c r="A685" s="5"/>
      <c r="B685" s="8"/>
      <c r="C685" s="4"/>
      <c r="D685" s="8"/>
      <c r="E685" s="8"/>
      <c r="F685" s="8"/>
    </row>
    <row r="686" spans="1:6">
      <c r="A686" s="5"/>
      <c r="B686" s="8"/>
      <c r="C686" s="4"/>
      <c r="D686" s="8"/>
      <c r="E686" s="8"/>
      <c r="F686" s="8"/>
    </row>
    <row r="687" spans="1:6">
      <c r="A687" s="5"/>
      <c r="B687" s="8"/>
      <c r="C687" s="4"/>
      <c r="D687" s="8"/>
      <c r="E687" s="8"/>
      <c r="F687" s="8"/>
    </row>
    <row r="688" spans="1:6">
      <c r="A688" s="5"/>
      <c r="B688" s="8"/>
      <c r="C688" s="4"/>
      <c r="D688" s="8"/>
      <c r="E688" s="8"/>
      <c r="F688" s="8"/>
    </row>
    <row r="689" spans="1:6">
      <c r="A689" s="5"/>
      <c r="B689" s="8"/>
      <c r="C689" s="4"/>
      <c r="D689" s="8"/>
      <c r="E689" s="8"/>
      <c r="F689" s="8"/>
    </row>
    <row r="690" spans="1:6">
      <c r="A690" s="5"/>
      <c r="B690" s="8"/>
      <c r="C690" s="4"/>
      <c r="D690" s="8"/>
      <c r="E690" s="8"/>
      <c r="F690" s="8"/>
    </row>
    <row r="691" spans="1:6">
      <c r="A691" s="5"/>
      <c r="B691" s="8"/>
      <c r="C691" s="4"/>
      <c r="D691" s="8"/>
      <c r="E691" s="8"/>
      <c r="F691" s="8"/>
    </row>
    <row r="692" spans="1:6">
      <c r="A692" s="5"/>
      <c r="B692" s="8"/>
      <c r="C692" s="4"/>
      <c r="D692" s="8"/>
      <c r="E692" s="8"/>
      <c r="F692" s="8"/>
    </row>
    <row r="693" spans="1:6">
      <c r="A693" s="5"/>
      <c r="B693" s="8"/>
      <c r="C693" s="4"/>
      <c r="D693" s="8"/>
      <c r="E693" s="8"/>
      <c r="F693" s="8"/>
    </row>
    <row r="694" spans="1:6">
      <c r="A694" s="5"/>
      <c r="B694" s="8"/>
      <c r="C694" s="4"/>
      <c r="D694" s="8"/>
      <c r="E694" s="8"/>
      <c r="F694" s="8"/>
    </row>
    <row r="695" spans="1:6">
      <c r="A695" s="5"/>
      <c r="B695" s="8"/>
      <c r="C695" s="4"/>
      <c r="D695" s="8"/>
      <c r="E695" s="8"/>
      <c r="F695" s="8"/>
    </row>
    <row r="696" spans="1:6">
      <c r="A696" s="5"/>
      <c r="B696" s="8"/>
      <c r="C696" s="4"/>
      <c r="D696" s="8"/>
      <c r="E696" s="8"/>
      <c r="F696" s="8"/>
    </row>
    <row r="697" spans="1:6">
      <c r="A697" s="5"/>
      <c r="B697" s="8"/>
      <c r="C697" s="4"/>
      <c r="D697" s="8"/>
      <c r="E697" s="8"/>
      <c r="F697" s="8"/>
    </row>
    <row r="698" spans="1:6">
      <c r="A698" s="5"/>
      <c r="B698" s="8"/>
      <c r="C698" s="4"/>
      <c r="D698" s="8"/>
      <c r="E698" s="8"/>
      <c r="F698" s="8"/>
    </row>
    <row r="699" spans="1:6">
      <c r="A699" s="5"/>
      <c r="B699" s="8"/>
      <c r="C699" s="4"/>
      <c r="D699" s="8"/>
      <c r="E699" s="8"/>
      <c r="F699" s="8"/>
    </row>
    <row r="700" spans="1:6">
      <c r="A700" s="5"/>
      <c r="B700" s="8"/>
      <c r="C700" s="4"/>
      <c r="D700" s="8"/>
      <c r="E700" s="8"/>
      <c r="F700" s="8"/>
    </row>
    <row r="701" spans="1:6">
      <c r="A701" s="5"/>
      <c r="B701" s="8"/>
      <c r="C701" s="4"/>
      <c r="D701" s="8"/>
      <c r="E701" s="8"/>
      <c r="F701" s="8"/>
    </row>
    <row r="702" spans="1:6">
      <c r="A702" s="5"/>
      <c r="B702" s="8"/>
      <c r="C702" s="4"/>
      <c r="D702" s="8"/>
      <c r="E702" s="8"/>
      <c r="F702" s="8"/>
    </row>
    <row r="703" spans="1:6">
      <c r="A703" s="5"/>
      <c r="B703" s="8"/>
      <c r="C703" s="4"/>
      <c r="D703" s="8"/>
      <c r="E703" s="8"/>
      <c r="F703" s="8"/>
    </row>
    <row r="704" spans="1:6">
      <c r="A704" s="5"/>
      <c r="B704" s="8"/>
      <c r="C704" s="4"/>
      <c r="D704" s="8"/>
      <c r="E704" s="8"/>
      <c r="F704" s="8"/>
    </row>
    <row r="705" spans="1:6">
      <c r="A705" s="5"/>
      <c r="B705" s="8"/>
      <c r="C705" s="4"/>
      <c r="D705" s="8"/>
      <c r="E705" s="8"/>
      <c r="F705" s="8"/>
    </row>
    <row r="706" spans="1:6">
      <c r="A706" s="5"/>
      <c r="B706" s="8"/>
      <c r="C706" s="4"/>
      <c r="D706" s="8"/>
      <c r="E706" s="8"/>
      <c r="F706" s="8"/>
    </row>
    <row r="707" spans="1:6">
      <c r="A707" s="5"/>
      <c r="B707" s="8"/>
      <c r="C707" s="4"/>
      <c r="D707" s="8"/>
      <c r="E707" s="8"/>
      <c r="F707" s="8"/>
    </row>
    <row r="708" spans="1:6">
      <c r="A708" s="5"/>
      <c r="B708" s="8"/>
      <c r="C708" s="4"/>
      <c r="D708" s="8"/>
      <c r="E708" s="8"/>
      <c r="F708" s="8"/>
    </row>
    <row r="709" spans="1:6">
      <c r="A709" s="5"/>
      <c r="B709" s="8"/>
      <c r="C709" s="4"/>
      <c r="D709" s="8"/>
      <c r="E709" s="8"/>
      <c r="F709" s="8"/>
    </row>
    <row r="710" spans="1:6">
      <c r="A710" s="5"/>
      <c r="B710" s="8"/>
      <c r="C710" s="4"/>
      <c r="D710" s="8"/>
      <c r="E710" s="8"/>
      <c r="F710" s="8"/>
    </row>
    <row r="711" spans="1:6">
      <c r="A711" s="5"/>
      <c r="B711" s="8"/>
      <c r="C711" s="4"/>
      <c r="D711" s="8"/>
      <c r="E711" s="8"/>
      <c r="F711" s="8"/>
    </row>
    <row r="712" spans="1:6">
      <c r="A712" s="5"/>
      <c r="B712" s="8"/>
      <c r="C712" s="4"/>
      <c r="D712" s="8"/>
      <c r="E712" s="8"/>
      <c r="F712" s="8"/>
    </row>
    <row r="713" spans="1:6">
      <c r="A713" s="5"/>
      <c r="B713" s="8"/>
      <c r="C713" s="4"/>
      <c r="D713" s="8"/>
      <c r="E713" s="8"/>
      <c r="F713" s="8"/>
    </row>
    <row r="714" spans="1:6">
      <c r="A714" s="5"/>
      <c r="B714" s="8"/>
      <c r="C714" s="4"/>
      <c r="D714" s="8"/>
      <c r="E714" s="8"/>
      <c r="F714" s="8"/>
    </row>
    <row r="715" spans="1:6">
      <c r="A715" s="5"/>
      <c r="B715" s="8"/>
      <c r="C715" s="4"/>
      <c r="D715" s="8"/>
      <c r="E715" s="8"/>
      <c r="F715" s="8"/>
    </row>
    <row r="716" spans="1:6">
      <c r="A716" s="5"/>
      <c r="B716" s="8"/>
      <c r="C716" s="4"/>
      <c r="D716" s="8"/>
      <c r="E716" s="8"/>
      <c r="F716" s="8"/>
    </row>
    <row r="717" spans="1:6">
      <c r="A717" s="5"/>
      <c r="B717" s="8"/>
      <c r="C717" s="4"/>
      <c r="D717" s="8"/>
      <c r="E717" s="8"/>
      <c r="F717" s="8"/>
    </row>
    <row r="718" spans="1:6">
      <c r="A718" s="5"/>
      <c r="B718" s="8"/>
      <c r="C718" s="4"/>
      <c r="D718" s="8"/>
      <c r="E718" s="8"/>
      <c r="F718" s="8"/>
    </row>
    <row r="719" spans="1:6">
      <c r="A719" s="5"/>
      <c r="B719" s="8"/>
      <c r="C719" s="4"/>
      <c r="D719" s="8"/>
      <c r="E719" s="8"/>
      <c r="F719" s="8"/>
    </row>
    <row r="720" spans="1:6">
      <c r="A720" s="5"/>
      <c r="B720" s="8"/>
      <c r="C720" s="4"/>
      <c r="D720" s="8"/>
      <c r="E720" s="8"/>
      <c r="F720" s="8"/>
    </row>
    <row r="721" spans="1:6">
      <c r="A721" s="5"/>
      <c r="B721" s="8"/>
      <c r="C721" s="4"/>
      <c r="D721" s="8"/>
      <c r="E721" s="8"/>
      <c r="F721" s="8"/>
    </row>
    <row r="722" spans="1:6">
      <c r="A722" s="5"/>
      <c r="B722" s="8"/>
      <c r="C722" s="4"/>
      <c r="D722" s="8"/>
      <c r="E722" s="8"/>
      <c r="F722" s="8"/>
    </row>
    <row r="723" spans="1:6">
      <c r="A723" s="5"/>
      <c r="B723" s="8"/>
      <c r="C723" s="4"/>
      <c r="D723" s="8"/>
      <c r="E723" s="8"/>
      <c r="F723" s="8"/>
    </row>
    <row r="724" spans="1:6">
      <c r="A724" s="5"/>
      <c r="B724" s="8"/>
      <c r="C724" s="4"/>
      <c r="D724" s="8"/>
      <c r="E724" s="8"/>
      <c r="F724" s="8"/>
    </row>
    <row r="725" spans="1:6">
      <c r="A725" s="5"/>
      <c r="B725" s="8"/>
      <c r="C725" s="4"/>
      <c r="D725" s="8"/>
      <c r="E725" s="8"/>
      <c r="F725" s="8"/>
    </row>
    <row r="726" spans="1:6">
      <c r="A726" s="5"/>
      <c r="B726" s="8"/>
      <c r="C726" s="4"/>
      <c r="D726" s="8"/>
      <c r="E726" s="8"/>
      <c r="F726" s="8"/>
    </row>
    <row r="727" spans="1:6">
      <c r="A727" s="5"/>
      <c r="B727" s="8"/>
      <c r="C727" s="4"/>
      <c r="D727" s="8"/>
      <c r="E727" s="8"/>
      <c r="F727" s="8"/>
    </row>
    <row r="728" spans="1:6">
      <c r="A728" s="5"/>
      <c r="B728" s="8"/>
      <c r="C728" s="4"/>
      <c r="D728" s="8"/>
      <c r="E728" s="8"/>
      <c r="F728" s="8"/>
    </row>
    <row r="729" spans="1:6">
      <c r="A729" s="5"/>
      <c r="B729" s="8"/>
      <c r="C729" s="4"/>
      <c r="D729" s="8"/>
      <c r="E729" s="8"/>
      <c r="F729" s="8"/>
    </row>
    <row r="730" spans="1:6">
      <c r="A730" s="5"/>
      <c r="B730" s="8"/>
      <c r="C730" s="4"/>
      <c r="D730" s="8"/>
      <c r="E730" s="8"/>
      <c r="F730" s="8"/>
    </row>
    <row r="731" spans="1:6">
      <c r="A731" s="5"/>
      <c r="B731" s="8"/>
      <c r="C731" s="4"/>
      <c r="D731" s="8"/>
      <c r="E731" s="8"/>
      <c r="F731" s="8"/>
    </row>
    <row r="732" spans="1:6">
      <c r="A732" s="5"/>
      <c r="B732" s="8"/>
      <c r="C732" s="4"/>
      <c r="D732" s="8"/>
      <c r="E732" s="8"/>
      <c r="F732" s="8"/>
    </row>
    <row r="733" spans="1:6">
      <c r="A733" s="5"/>
      <c r="B733" s="8"/>
      <c r="C733" s="4"/>
      <c r="D733" s="8"/>
      <c r="E733" s="8"/>
      <c r="F733" s="8"/>
    </row>
    <row r="734" spans="1:6">
      <c r="A734" s="5"/>
      <c r="B734" s="8"/>
      <c r="C734" s="4"/>
      <c r="D734" s="8"/>
      <c r="E734" s="8"/>
      <c r="F734" s="8"/>
    </row>
    <row r="735" spans="1:6">
      <c r="A735" s="5"/>
      <c r="B735" s="8"/>
      <c r="C735" s="4"/>
      <c r="D735" s="8"/>
      <c r="E735" s="8"/>
      <c r="F735" s="8"/>
    </row>
    <row r="736" spans="1:6">
      <c r="A736" s="5"/>
      <c r="B736" s="8"/>
      <c r="C736" s="4"/>
      <c r="D736" s="8"/>
      <c r="E736" s="8"/>
      <c r="F736" s="8"/>
    </row>
    <row r="737" spans="1:6">
      <c r="A737" s="5"/>
      <c r="B737" s="8"/>
      <c r="C737" s="4"/>
      <c r="D737" s="8"/>
      <c r="E737" s="8"/>
      <c r="F737" s="8"/>
    </row>
    <row r="738" spans="1:6">
      <c r="A738" s="5"/>
      <c r="B738" s="8"/>
      <c r="C738" s="4"/>
      <c r="D738" s="8"/>
      <c r="E738" s="8"/>
      <c r="F738" s="8"/>
    </row>
    <row r="739" spans="1:6">
      <c r="A739" s="5"/>
      <c r="B739" s="8"/>
      <c r="C739" s="4"/>
      <c r="D739" s="8"/>
      <c r="E739" s="8"/>
      <c r="F739" s="8"/>
    </row>
    <row r="740" spans="1:6">
      <c r="A740" s="5"/>
      <c r="B740" s="8"/>
      <c r="C740" s="4"/>
      <c r="D740" s="8"/>
      <c r="E740" s="8"/>
      <c r="F740" s="8"/>
    </row>
    <row r="741" spans="1:6">
      <c r="A741" s="5"/>
      <c r="B741" s="8"/>
      <c r="C741" s="4"/>
      <c r="D741" s="8"/>
      <c r="E741" s="8"/>
      <c r="F741" s="8"/>
    </row>
    <row r="742" spans="1:6">
      <c r="A742" s="5"/>
      <c r="B742" s="8"/>
      <c r="C742" s="4"/>
      <c r="D742" s="8"/>
      <c r="E742" s="8"/>
      <c r="F742" s="8"/>
    </row>
    <row r="743" spans="1:6">
      <c r="A743" s="5"/>
      <c r="B743" s="8"/>
      <c r="C743" s="4"/>
      <c r="D743" s="8"/>
      <c r="E743" s="8"/>
      <c r="F743" s="8"/>
    </row>
    <row r="744" spans="1:6">
      <c r="A744" s="5"/>
      <c r="B744" s="8"/>
      <c r="C744" s="4"/>
      <c r="D744" s="8"/>
      <c r="E744" s="8"/>
      <c r="F744" s="8"/>
    </row>
    <row r="745" spans="1:6">
      <c r="A745" s="5"/>
      <c r="B745" s="8"/>
      <c r="C745" s="4"/>
      <c r="D745" s="8"/>
      <c r="E745" s="8"/>
      <c r="F745" s="8"/>
    </row>
    <row r="746" spans="1:6">
      <c r="A746" s="5"/>
      <c r="B746" s="8"/>
      <c r="C746" s="4"/>
      <c r="D746" s="8"/>
      <c r="E746" s="8"/>
      <c r="F746" s="8"/>
    </row>
    <row r="747" spans="1:6">
      <c r="A747" s="5"/>
      <c r="B747" s="8"/>
      <c r="C747" s="4"/>
      <c r="D747" s="8"/>
      <c r="E747" s="8"/>
      <c r="F747" s="8"/>
    </row>
    <row r="748" spans="1:6">
      <c r="A748" s="5"/>
      <c r="B748" s="8"/>
      <c r="C748" s="4"/>
      <c r="D748" s="8"/>
      <c r="E748" s="8"/>
      <c r="F748" s="8"/>
    </row>
    <row r="749" spans="1:6">
      <c r="A749" s="5"/>
      <c r="B749" s="8"/>
      <c r="C749" s="4"/>
      <c r="D749" s="8"/>
      <c r="E749" s="8"/>
      <c r="F749" s="8"/>
    </row>
    <row r="750" spans="1:6">
      <c r="A750" s="5"/>
      <c r="B750" s="8"/>
      <c r="C750" s="4"/>
      <c r="D750" s="8"/>
      <c r="E750" s="8"/>
      <c r="F750" s="8"/>
    </row>
    <row r="751" spans="1:6">
      <c r="A751" s="5"/>
      <c r="B751" s="8"/>
      <c r="C751" s="4"/>
      <c r="D751" s="8"/>
      <c r="E751" s="8"/>
      <c r="F751" s="8"/>
    </row>
    <row r="752" spans="1:6">
      <c r="A752" s="5"/>
      <c r="B752" s="8"/>
      <c r="C752" s="4"/>
      <c r="D752" s="8"/>
      <c r="E752" s="8"/>
      <c r="F752" s="8"/>
    </row>
    <row r="753" spans="1:6">
      <c r="A753" s="5"/>
      <c r="B753" s="8"/>
      <c r="C753" s="4"/>
      <c r="D753" s="8"/>
      <c r="E753" s="8"/>
      <c r="F753" s="8"/>
    </row>
    <row r="754" spans="1:6">
      <c r="A754" s="5"/>
      <c r="B754" s="8"/>
      <c r="C754" s="4"/>
      <c r="D754" s="8"/>
      <c r="E754" s="8"/>
      <c r="F754" s="8"/>
    </row>
    <row r="755" spans="1:6">
      <c r="A755" s="5"/>
      <c r="B755" s="8"/>
      <c r="C755" s="4"/>
      <c r="D755" s="8"/>
      <c r="E755" s="8"/>
      <c r="F755" s="8"/>
    </row>
    <row r="756" spans="1:6">
      <c r="A756" s="5"/>
      <c r="B756" s="8"/>
      <c r="C756" s="4"/>
      <c r="D756" s="8"/>
      <c r="E756" s="8"/>
      <c r="F756" s="8"/>
    </row>
    <row r="757" spans="1:6">
      <c r="A757" s="5"/>
      <c r="B757" s="8"/>
      <c r="C757" s="4"/>
      <c r="D757" s="8"/>
      <c r="E757" s="8"/>
      <c r="F757" s="8"/>
    </row>
    <row r="758" spans="1:6">
      <c r="A758" s="5"/>
      <c r="B758" s="8"/>
      <c r="C758" s="4"/>
      <c r="D758" s="8"/>
      <c r="E758" s="8"/>
      <c r="F758" s="8"/>
    </row>
    <row r="759" spans="1:6">
      <c r="A759" s="5"/>
      <c r="B759" s="8"/>
      <c r="C759" s="4"/>
      <c r="D759" s="8"/>
      <c r="E759" s="8"/>
      <c r="F759" s="8"/>
    </row>
    <row r="760" spans="1:6">
      <c r="A760" s="5"/>
      <c r="B760" s="8"/>
      <c r="C760" s="4"/>
      <c r="D760" s="8"/>
      <c r="E760" s="8"/>
      <c r="F760" s="8"/>
    </row>
    <row r="761" spans="1:6">
      <c r="A761" s="5"/>
      <c r="B761" s="8"/>
      <c r="C761" s="4"/>
      <c r="D761" s="8"/>
      <c r="E761" s="8"/>
      <c r="F761" s="8"/>
    </row>
    <row r="762" spans="1:6">
      <c r="A762" s="5"/>
      <c r="B762" s="8"/>
      <c r="C762" s="4"/>
      <c r="D762" s="8"/>
      <c r="E762" s="8"/>
      <c r="F762" s="8"/>
    </row>
    <row r="763" spans="1:6">
      <c r="A763" s="5"/>
      <c r="B763" s="8"/>
      <c r="C763" s="4"/>
      <c r="D763" s="8"/>
      <c r="E763" s="8"/>
      <c r="F763" s="8"/>
    </row>
    <row r="764" spans="1:6">
      <c r="A764" s="5"/>
      <c r="B764" s="8"/>
      <c r="C764" s="4"/>
      <c r="D764" s="8"/>
      <c r="E764" s="8"/>
      <c r="F764" s="8"/>
    </row>
    <row r="765" spans="1:6">
      <c r="A765" s="5"/>
      <c r="B765" s="8"/>
      <c r="C765" s="4"/>
      <c r="D765" s="8"/>
      <c r="E765" s="8"/>
      <c r="F765" s="8"/>
    </row>
    <row r="766" spans="1:6">
      <c r="A766" s="5"/>
      <c r="B766" s="8"/>
      <c r="C766" s="4"/>
      <c r="D766" s="8"/>
      <c r="E766" s="8"/>
      <c r="F766" s="8"/>
    </row>
    <row r="767" spans="1:6">
      <c r="A767" s="5"/>
      <c r="B767" s="8"/>
      <c r="C767" s="4"/>
      <c r="D767" s="8"/>
      <c r="E767" s="8"/>
      <c r="F767" s="8"/>
    </row>
    <row r="768" spans="1:6">
      <c r="A768" s="5"/>
      <c r="B768" s="8"/>
      <c r="C768" s="4"/>
      <c r="D768" s="8"/>
      <c r="E768" s="8"/>
      <c r="F768" s="8"/>
    </row>
    <row r="769" spans="1:6">
      <c r="A769" s="5"/>
      <c r="B769" s="8"/>
      <c r="C769" s="4"/>
      <c r="D769" s="8"/>
      <c r="E769" s="8"/>
      <c r="F769" s="8"/>
    </row>
    <row r="770" spans="1:6">
      <c r="A770" s="5"/>
      <c r="B770" s="8"/>
      <c r="C770" s="4"/>
      <c r="D770" s="8"/>
      <c r="E770" s="8"/>
      <c r="F770" s="8"/>
    </row>
    <row r="771" spans="1:6">
      <c r="A771" s="5"/>
      <c r="B771" s="8"/>
      <c r="C771" s="4"/>
      <c r="D771" s="8"/>
      <c r="E771" s="8"/>
      <c r="F771" s="8"/>
    </row>
    <row r="772" spans="1:6">
      <c r="A772" s="5"/>
      <c r="B772" s="8"/>
      <c r="C772" s="4"/>
      <c r="D772" s="8"/>
      <c r="E772" s="8"/>
      <c r="F772" s="8"/>
    </row>
    <row r="773" spans="1:6">
      <c r="A773" s="5"/>
      <c r="B773" s="8"/>
      <c r="C773" s="4"/>
      <c r="D773" s="8"/>
      <c r="E773" s="8"/>
      <c r="F773" s="8"/>
    </row>
    <row r="774" spans="1:6">
      <c r="A774" s="5"/>
      <c r="B774" s="8"/>
      <c r="C774" s="4"/>
      <c r="D774" s="8"/>
      <c r="E774" s="8"/>
      <c r="F774" s="8"/>
    </row>
    <row r="775" spans="1:6">
      <c r="A775" s="5"/>
      <c r="B775" s="8"/>
      <c r="C775" s="4"/>
      <c r="D775" s="8"/>
      <c r="E775" s="8"/>
      <c r="F775" s="8"/>
    </row>
    <row r="776" spans="1:6">
      <c r="A776" s="5"/>
      <c r="B776" s="8"/>
      <c r="C776" s="4"/>
      <c r="D776" s="8"/>
      <c r="E776" s="8"/>
      <c r="F776" s="8"/>
    </row>
    <row r="777" spans="1:6">
      <c r="A777" s="5"/>
      <c r="B777" s="8"/>
      <c r="C777" s="4"/>
      <c r="D777" s="8"/>
      <c r="E777" s="8"/>
      <c r="F777" s="8"/>
    </row>
    <row r="778" spans="1:6">
      <c r="A778" s="5"/>
      <c r="B778" s="8"/>
      <c r="C778" s="4"/>
      <c r="D778" s="8"/>
      <c r="E778" s="8"/>
      <c r="F778" s="8"/>
    </row>
    <row r="779" spans="1:6">
      <c r="A779" s="5"/>
      <c r="B779" s="8"/>
      <c r="C779" s="4"/>
      <c r="D779" s="8"/>
      <c r="E779" s="8"/>
      <c r="F779" s="8"/>
    </row>
    <row r="780" spans="1:6">
      <c r="A780" s="5"/>
      <c r="B780" s="8"/>
      <c r="C780" s="4"/>
      <c r="D780" s="8"/>
      <c r="E780" s="8"/>
      <c r="F780" s="8"/>
    </row>
    <row r="781" spans="1:6">
      <c r="A781" s="5"/>
      <c r="B781" s="8"/>
      <c r="C781" s="4"/>
      <c r="D781" s="8"/>
      <c r="E781" s="8"/>
      <c r="F781" s="8"/>
    </row>
    <row r="782" spans="1:6">
      <c r="A782" s="5"/>
      <c r="B782" s="8"/>
      <c r="C782" s="4"/>
      <c r="D782" s="8"/>
      <c r="E782" s="8"/>
      <c r="F782" s="8"/>
    </row>
    <row r="783" spans="1:6">
      <c r="A783" s="5"/>
      <c r="B783" s="8"/>
      <c r="C783" s="4"/>
      <c r="D783" s="8"/>
      <c r="E783" s="8"/>
      <c r="F783" s="8"/>
    </row>
    <row r="784" spans="1:6">
      <c r="A784" s="5"/>
      <c r="B784" s="8"/>
      <c r="C784" s="4"/>
      <c r="D784" s="8"/>
      <c r="E784" s="8"/>
      <c r="F784" s="8"/>
    </row>
    <row r="785" spans="1:6">
      <c r="A785" s="5"/>
      <c r="B785" s="8"/>
      <c r="C785" s="4"/>
      <c r="D785" s="8"/>
      <c r="E785" s="8"/>
      <c r="F785" s="8"/>
    </row>
    <row r="786" spans="1:6">
      <c r="A786" s="5"/>
      <c r="B786" s="8"/>
      <c r="C786" s="4"/>
      <c r="D786" s="8"/>
      <c r="E786" s="8"/>
      <c r="F786" s="8"/>
    </row>
    <row r="787" spans="1:6">
      <c r="A787" s="5"/>
      <c r="B787" s="8"/>
      <c r="C787" s="4"/>
      <c r="D787" s="8"/>
      <c r="E787" s="8"/>
      <c r="F787" s="8"/>
    </row>
    <row r="788" spans="1:6">
      <c r="A788" s="5"/>
      <c r="B788" s="8"/>
      <c r="C788" s="4"/>
      <c r="D788" s="8"/>
      <c r="E788" s="8"/>
      <c r="F788" s="8"/>
    </row>
    <row r="789" spans="1:6">
      <c r="A789" s="5"/>
      <c r="B789" s="8"/>
      <c r="C789" s="4"/>
      <c r="D789" s="8"/>
      <c r="E789" s="8"/>
      <c r="F789" s="8"/>
    </row>
    <row r="790" spans="1:6">
      <c r="A790" s="5"/>
      <c r="B790" s="8"/>
      <c r="C790" s="4"/>
      <c r="D790" s="8"/>
      <c r="E790" s="8"/>
      <c r="F790" s="8"/>
    </row>
    <row r="791" spans="1:6">
      <c r="A791" s="5"/>
      <c r="B791" s="8"/>
      <c r="C791" s="4"/>
      <c r="D791" s="8"/>
      <c r="E791" s="8"/>
      <c r="F791" s="8"/>
    </row>
    <row r="792" spans="1:6">
      <c r="A792" s="5"/>
      <c r="B792" s="8"/>
      <c r="C792" s="4"/>
      <c r="D792" s="8"/>
      <c r="E792" s="8"/>
      <c r="F792" s="8"/>
    </row>
    <row r="793" spans="1:6">
      <c r="A793" s="5"/>
      <c r="B793" s="8"/>
      <c r="C793" s="4"/>
      <c r="D793" s="8"/>
      <c r="E793" s="8"/>
      <c r="F793" s="8"/>
    </row>
    <row r="794" spans="1:6">
      <c r="A794" s="5"/>
      <c r="B794" s="8"/>
      <c r="C794" s="4"/>
      <c r="D794" s="8"/>
      <c r="E794" s="8"/>
      <c r="F794" s="8"/>
    </row>
    <row r="795" spans="1:6">
      <c r="A795" s="5"/>
      <c r="B795" s="8"/>
      <c r="C795" s="4"/>
      <c r="D795" s="8"/>
      <c r="E795" s="8"/>
      <c r="F795" s="8"/>
    </row>
    <row r="796" spans="1:6">
      <c r="A796" s="5"/>
      <c r="B796" s="8"/>
      <c r="C796" s="4"/>
      <c r="D796" s="8"/>
      <c r="E796" s="8"/>
      <c r="F796" s="8"/>
    </row>
    <row r="797" spans="1:6">
      <c r="A797" s="5"/>
      <c r="B797" s="8"/>
      <c r="C797" s="4"/>
      <c r="D797" s="8"/>
      <c r="E797" s="8"/>
      <c r="F797" s="8"/>
    </row>
    <row r="798" spans="1:6">
      <c r="A798" s="5"/>
      <c r="B798" s="8"/>
      <c r="C798" s="4"/>
      <c r="D798" s="8"/>
      <c r="E798" s="8"/>
      <c r="F798" s="8"/>
    </row>
    <row r="799" spans="1:6">
      <c r="A799" s="5"/>
      <c r="B799" s="8"/>
      <c r="C799" s="4"/>
      <c r="D799" s="8"/>
      <c r="E799" s="8"/>
      <c r="F799" s="8"/>
    </row>
    <row r="800" spans="1:6">
      <c r="A800" s="5"/>
      <c r="B800" s="8"/>
      <c r="C800" s="4"/>
      <c r="D800" s="8"/>
      <c r="E800" s="8"/>
      <c r="F800" s="8"/>
    </row>
    <row r="801" spans="1:6">
      <c r="A801" s="5"/>
      <c r="B801" s="8"/>
      <c r="C801" s="4"/>
      <c r="D801" s="8"/>
      <c r="E801" s="8"/>
      <c r="F801" s="8"/>
    </row>
    <row r="802" spans="1:6">
      <c r="A802" s="5"/>
      <c r="B802" s="8"/>
      <c r="C802" s="4"/>
      <c r="D802" s="8"/>
      <c r="E802" s="8"/>
      <c r="F802" s="8"/>
    </row>
    <row r="803" spans="1:6">
      <c r="A803" s="5"/>
      <c r="B803" s="8"/>
      <c r="C803" s="4"/>
      <c r="D803" s="8"/>
      <c r="E803" s="8"/>
      <c r="F803" s="8"/>
    </row>
    <row r="804" spans="1:6">
      <c r="A804" s="5"/>
      <c r="B804" s="8"/>
      <c r="C804" s="4"/>
      <c r="D804" s="8"/>
      <c r="E804" s="8"/>
      <c r="F804" s="8"/>
    </row>
    <row r="805" spans="1:6">
      <c r="A805" s="5"/>
      <c r="B805" s="8"/>
      <c r="C805" s="4"/>
      <c r="D805" s="8"/>
      <c r="E805" s="8"/>
      <c r="F805" s="8"/>
    </row>
    <row r="806" spans="1:6">
      <c r="A806" s="5"/>
      <c r="B806" s="8"/>
      <c r="C806" s="4"/>
      <c r="D806" s="8"/>
      <c r="E806" s="8"/>
      <c r="F806" s="8"/>
    </row>
    <row r="807" spans="1:6">
      <c r="A807" s="5"/>
      <c r="B807" s="8"/>
      <c r="C807" s="4"/>
      <c r="D807" s="8"/>
      <c r="E807" s="8"/>
      <c r="F807" s="8"/>
    </row>
    <row r="808" spans="1:6">
      <c r="A808" s="5"/>
      <c r="B808" s="8"/>
      <c r="C808" s="4"/>
      <c r="D808" s="8"/>
      <c r="E808" s="8"/>
      <c r="F808" s="8"/>
    </row>
    <row r="809" spans="1:6">
      <c r="A809" s="5"/>
      <c r="B809" s="8"/>
      <c r="C809" s="4"/>
      <c r="D809" s="8"/>
      <c r="E809" s="8"/>
      <c r="F809" s="8"/>
    </row>
    <row r="810" spans="1:6">
      <c r="A810" s="5"/>
      <c r="B810" s="8"/>
      <c r="C810" s="4"/>
      <c r="D810" s="8"/>
      <c r="E810" s="8"/>
      <c r="F810" s="8"/>
    </row>
    <row r="811" spans="1:6">
      <c r="A811" s="5"/>
      <c r="B811" s="8"/>
      <c r="C811" s="4"/>
      <c r="D811" s="8"/>
      <c r="E811" s="8"/>
      <c r="F811" s="8"/>
    </row>
    <row r="812" spans="1:6">
      <c r="A812" s="5"/>
      <c r="B812" s="8"/>
      <c r="C812" s="4"/>
      <c r="D812" s="8"/>
      <c r="E812" s="8"/>
      <c r="F812" s="8"/>
    </row>
    <row r="813" spans="1:6">
      <c r="A813" s="5"/>
      <c r="B813" s="8"/>
      <c r="C813" s="4"/>
      <c r="D813" s="8"/>
      <c r="E813" s="8"/>
      <c r="F813" s="8"/>
    </row>
    <row r="814" spans="1:6">
      <c r="A814" s="5"/>
      <c r="B814" s="8"/>
      <c r="C814" s="4"/>
      <c r="D814" s="8"/>
      <c r="E814" s="8"/>
      <c r="F814" s="8"/>
    </row>
    <row r="815" spans="1:6">
      <c r="A815" s="5"/>
      <c r="B815" s="8"/>
      <c r="C815" s="4"/>
      <c r="D815" s="8"/>
      <c r="E815" s="8"/>
      <c r="F815" s="8"/>
    </row>
    <row r="816" spans="1:6">
      <c r="A816" s="5"/>
      <c r="B816" s="8"/>
      <c r="C816" s="4"/>
      <c r="D816" s="8"/>
      <c r="E816" s="8"/>
      <c r="F816" s="8"/>
    </row>
    <row r="817" spans="1:6">
      <c r="A817" s="5"/>
      <c r="B817" s="8"/>
      <c r="C817" s="4"/>
      <c r="D817" s="8"/>
      <c r="E817" s="8"/>
      <c r="F817" s="8"/>
    </row>
    <row r="818" spans="1:6">
      <c r="A818" s="5"/>
      <c r="B818" s="8"/>
      <c r="C818" s="4"/>
      <c r="D818" s="8"/>
      <c r="E818" s="8"/>
      <c r="F818" s="8"/>
    </row>
    <row r="819" spans="1:6">
      <c r="A819" s="5"/>
      <c r="B819" s="8"/>
      <c r="C819" s="4"/>
      <c r="D819" s="8"/>
      <c r="E819" s="8"/>
      <c r="F819" s="8"/>
    </row>
    <row r="820" spans="1:6">
      <c r="A820" s="5"/>
      <c r="B820" s="8"/>
      <c r="C820" s="4"/>
      <c r="D820" s="8"/>
      <c r="E820" s="8"/>
      <c r="F820" s="8"/>
    </row>
    <row r="821" spans="1:6">
      <c r="A821" s="5"/>
      <c r="B821" s="8"/>
      <c r="C821" s="4"/>
      <c r="D821" s="8"/>
      <c r="E821" s="8"/>
      <c r="F821" s="8"/>
    </row>
    <row r="822" spans="1:6">
      <c r="A822" s="5"/>
      <c r="B822" s="8"/>
      <c r="C822" s="4"/>
      <c r="D822" s="8"/>
      <c r="E822" s="8"/>
      <c r="F822" s="8"/>
    </row>
    <row r="823" spans="1:6">
      <c r="A823" s="5"/>
      <c r="B823" s="8"/>
      <c r="C823" s="4"/>
      <c r="D823" s="8"/>
      <c r="E823" s="8"/>
      <c r="F823" s="8"/>
    </row>
    <row r="824" spans="1:6">
      <c r="A824" s="5"/>
      <c r="B824" s="8"/>
      <c r="C824" s="4"/>
      <c r="D824" s="8"/>
      <c r="E824" s="8"/>
      <c r="F824" s="8"/>
    </row>
    <row r="825" spans="1:6">
      <c r="A825" s="5"/>
      <c r="B825" s="8"/>
      <c r="C825" s="4"/>
      <c r="D825" s="8"/>
      <c r="E825" s="8"/>
      <c r="F825" s="8"/>
    </row>
    <row r="826" spans="1:6">
      <c r="A826" s="5"/>
      <c r="B826" s="8"/>
      <c r="C826" s="4"/>
      <c r="D826" s="8"/>
      <c r="E826" s="8"/>
      <c r="F826" s="8"/>
    </row>
    <row r="827" spans="1:6">
      <c r="A827" s="5"/>
      <c r="B827" s="8"/>
      <c r="C827" s="4"/>
      <c r="D827" s="8"/>
      <c r="E827" s="8"/>
      <c r="F827" s="8"/>
    </row>
    <row r="828" spans="1:6">
      <c r="A828" s="5"/>
      <c r="B828" s="8"/>
      <c r="C828" s="4"/>
      <c r="D828" s="8"/>
      <c r="E828" s="8"/>
      <c r="F828" s="8"/>
    </row>
    <row r="829" spans="1:6">
      <c r="A829" s="5"/>
      <c r="B829" s="8"/>
      <c r="C829" s="4"/>
      <c r="D829" s="8"/>
      <c r="E829" s="8"/>
      <c r="F829" s="8"/>
    </row>
    <row r="830" spans="1:6">
      <c r="A830" s="5"/>
      <c r="B830" s="8"/>
      <c r="C830" s="4"/>
      <c r="D830" s="8"/>
      <c r="E830" s="8"/>
      <c r="F830" s="8"/>
    </row>
    <row r="831" spans="1:6">
      <c r="A831" s="5"/>
      <c r="B831" s="8"/>
      <c r="C831" s="4"/>
      <c r="D831" s="8"/>
      <c r="E831" s="8"/>
      <c r="F831" s="8"/>
    </row>
    <row r="832" spans="1:6">
      <c r="A832" s="5"/>
      <c r="B832" s="8"/>
      <c r="C832" s="4"/>
      <c r="D832" s="8"/>
      <c r="E832" s="8"/>
      <c r="F832" s="8"/>
    </row>
    <row r="833" spans="1:6">
      <c r="A833" s="5"/>
      <c r="B833" s="8"/>
      <c r="C833" s="4"/>
      <c r="D833" s="8"/>
      <c r="E833" s="8"/>
      <c r="F833" s="8"/>
    </row>
    <row r="834" spans="1:6">
      <c r="A834" s="5"/>
      <c r="B834" s="8"/>
      <c r="C834" s="4"/>
      <c r="D834" s="8"/>
      <c r="E834" s="8"/>
      <c r="F834" s="8"/>
    </row>
    <row r="835" spans="1:6">
      <c r="A835" s="5"/>
      <c r="B835" s="8"/>
      <c r="C835" s="4"/>
      <c r="D835" s="8"/>
      <c r="E835" s="8"/>
      <c r="F835" s="8"/>
    </row>
    <row r="836" spans="1:6">
      <c r="A836" s="5"/>
      <c r="B836" s="8"/>
      <c r="C836" s="4"/>
      <c r="D836" s="8"/>
      <c r="E836" s="8"/>
      <c r="F836" s="8"/>
    </row>
    <row r="837" spans="1:6">
      <c r="A837" s="5"/>
      <c r="B837" s="8"/>
      <c r="C837" s="4"/>
      <c r="D837" s="8"/>
      <c r="E837" s="8"/>
      <c r="F837" s="8"/>
    </row>
    <row r="838" spans="1:6">
      <c r="A838" s="5"/>
      <c r="B838" s="8"/>
      <c r="C838" s="4"/>
      <c r="D838" s="8"/>
      <c r="E838" s="8"/>
      <c r="F838" s="8"/>
    </row>
    <row r="839" spans="1:6">
      <c r="A839" s="5"/>
      <c r="B839" s="8"/>
      <c r="C839" s="4"/>
      <c r="D839" s="8"/>
      <c r="E839" s="8"/>
      <c r="F839" s="8"/>
    </row>
    <row r="840" spans="1:6">
      <c r="A840" s="5"/>
      <c r="B840" s="8"/>
      <c r="C840" s="4"/>
      <c r="D840" s="8"/>
      <c r="E840" s="8"/>
      <c r="F840" s="8"/>
    </row>
    <row r="841" spans="1:6">
      <c r="A841" s="5"/>
      <c r="B841" s="8"/>
      <c r="C841" s="4"/>
      <c r="D841" s="8"/>
      <c r="E841" s="8"/>
      <c r="F841" s="8"/>
    </row>
    <row r="842" spans="1:6">
      <c r="A842" s="5"/>
      <c r="B842" s="8"/>
      <c r="C842" s="4"/>
      <c r="D842" s="8"/>
      <c r="E842" s="8"/>
      <c r="F842" s="8"/>
    </row>
    <row r="843" spans="1:6">
      <c r="A843" s="5"/>
      <c r="B843" s="8"/>
      <c r="C843" s="4"/>
      <c r="D843" s="8"/>
      <c r="E843" s="8"/>
      <c r="F843" s="8"/>
    </row>
    <row r="844" spans="1:6">
      <c r="A844" s="5"/>
      <c r="B844" s="8"/>
      <c r="C844" s="4"/>
      <c r="D844" s="8"/>
      <c r="E844" s="8"/>
      <c r="F844" s="8"/>
    </row>
    <row r="845" spans="1:6">
      <c r="A845" s="5"/>
      <c r="B845" s="8"/>
      <c r="C845" s="4"/>
      <c r="D845" s="8"/>
      <c r="E845" s="8"/>
      <c r="F845" s="8"/>
    </row>
    <row r="846" spans="1:6">
      <c r="A846" s="5"/>
      <c r="B846" s="8"/>
      <c r="C846" s="4"/>
      <c r="D846" s="8"/>
      <c r="E846" s="8"/>
      <c r="F846" s="8"/>
    </row>
    <row r="847" spans="1:6">
      <c r="A847" s="5"/>
      <c r="B847" s="8"/>
      <c r="C847" s="4"/>
      <c r="D847" s="8"/>
      <c r="E847" s="8"/>
      <c r="F847" s="8"/>
    </row>
    <row r="848" spans="1:6">
      <c r="A848" s="5"/>
      <c r="B848" s="8"/>
      <c r="C848" s="4"/>
      <c r="D848" s="8"/>
      <c r="E848" s="8"/>
      <c r="F848" s="8"/>
    </row>
    <row r="849" spans="1:6">
      <c r="A849" s="5"/>
      <c r="B849" s="8"/>
      <c r="C849" s="4"/>
      <c r="D849" s="8"/>
      <c r="E849" s="8"/>
      <c r="F849" s="8"/>
    </row>
    <row r="850" spans="1:6">
      <c r="A850" s="5"/>
      <c r="B850" s="8"/>
      <c r="C850" s="4"/>
      <c r="D850" s="8"/>
      <c r="E850" s="8"/>
      <c r="F850" s="8"/>
    </row>
    <row r="851" spans="1:6">
      <c r="A851" s="5"/>
      <c r="B851" s="8"/>
      <c r="C851" s="4"/>
      <c r="D851" s="8"/>
      <c r="E851" s="8"/>
      <c r="F851" s="8"/>
    </row>
    <row r="852" spans="1:6">
      <c r="A852" s="5"/>
      <c r="B852" s="8"/>
      <c r="C852" s="4"/>
      <c r="D852" s="8"/>
      <c r="E852" s="8"/>
      <c r="F852" s="8"/>
    </row>
    <row r="853" spans="1:6">
      <c r="A853" s="5"/>
      <c r="B853" s="8"/>
      <c r="C853" s="4"/>
      <c r="D853" s="8"/>
      <c r="E853" s="8"/>
      <c r="F853" s="8"/>
    </row>
    <row r="854" spans="1:6">
      <c r="A854" s="5"/>
      <c r="B854" s="8"/>
      <c r="C854" s="4"/>
      <c r="D854" s="8"/>
      <c r="E854" s="8"/>
      <c r="F854" s="8"/>
    </row>
    <row r="855" spans="1:6">
      <c r="A855" s="5"/>
      <c r="B855" s="8"/>
      <c r="C855" s="4"/>
      <c r="D855" s="8"/>
      <c r="E855" s="8"/>
      <c r="F855" s="8"/>
    </row>
    <row r="856" spans="1:6">
      <c r="A856" s="5"/>
      <c r="B856" s="8"/>
      <c r="C856" s="4"/>
      <c r="D856" s="8"/>
      <c r="E856" s="8"/>
      <c r="F856" s="8"/>
    </row>
    <row r="857" spans="1:6">
      <c r="A857" s="5"/>
      <c r="B857" s="8"/>
      <c r="C857" s="4"/>
      <c r="D857" s="8"/>
      <c r="E857" s="8"/>
      <c r="F857" s="8"/>
    </row>
    <row r="858" spans="1:6">
      <c r="A858" s="5"/>
      <c r="B858" s="8"/>
      <c r="C858" s="4"/>
      <c r="D858" s="8"/>
      <c r="E858" s="8"/>
      <c r="F858" s="8"/>
    </row>
    <row r="859" spans="1:6">
      <c r="A859" s="5"/>
      <c r="B859" s="8"/>
      <c r="C859" s="4"/>
      <c r="D859" s="8"/>
      <c r="E859" s="8"/>
      <c r="F859" s="8"/>
    </row>
    <row r="860" spans="1:6">
      <c r="A860" s="5"/>
      <c r="B860" s="8"/>
      <c r="C860" s="4"/>
      <c r="D860" s="8"/>
      <c r="E860" s="8"/>
      <c r="F860" s="8"/>
    </row>
    <row r="861" spans="1:6">
      <c r="A861" s="5"/>
      <c r="B861" s="8"/>
      <c r="C861" s="4"/>
      <c r="D861" s="8"/>
      <c r="E861" s="8"/>
      <c r="F861" s="8"/>
    </row>
    <row r="862" spans="1:6">
      <c r="A862" s="5"/>
      <c r="B862" s="8"/>
      <c r="C862" s="4"/>
      <c r="D862" s="8"/>
      <c r="E862" s="8"/>
      <c r="F862" s="8"/>
    </row>
    <row r="863" spans="1:6">
      <c r="A863" s="5"/>
      <c r="B863" s="8"/>
      <c r="C863" s="4"/>
      <c r="D863" s="8"/>
      <c r="E863" s="8"/>
      <c r="F863" s="8"/>
    </row>
    <row r="864" spans="1:6">
      <c r="A864" s="5"/>
      <c r="B864" s="8"/>
      <c r="C864" s="4"/>
      <c r="D864" s="8"/>
      <c r="E864" s="8"/>
      <c r="F864" s="8"/>
    </row>
    <row r="865" spans="1:6">
      <c r="A865" s="5"/>
      <c r="B865" s="8"/>
      <c r="C865" s="4"/>
      <c r="D865" s="8"/>
      <c r="E865" s="8"/>
      <c r="F865" s="8"/>
    </row>
    <row r="866" spans="1:6">
      <c r="A866" s="5"/>
      <c r="B866" s="8"/>
      <c r="C866" s="4"/>
      <c r="D866" s="8"/>
      <c r="E866" s="8"/>
      <c r="F866" s="8"/>
    </row>
    <row r="867" spans="1:6">
      <c r="A867" s="5"/>
      <c r="B867" s="8"/>
      <c r="C867" s="4"/>
      <c r="D867" s="8"/>
      <c r="E867" s="8"/>
      <c r="F867" s="8"/>
    </row>
    <row r="868" spans="1:6">
      <c r="A868" s="5"/>
      <c r="B868" s="8"/>
      <c r="C868" s="4"/>
      <c r="D868" s="8"/>
      <c r="E868" s="8"/>
      <c r="F868" s="8"/>
    </row>
    <row r="869" spans="1:6">
      <c r="A869" s="5"/>
      <c r="B869" s="8"/>
      <c r="C869" s="4"/>
      <c r="D869" s="8"/>
      <c r="E869" s="8"/>
      <c r="F869" s="8"/>
    </row>
    <row r="870" spans="1:6">
      <c r="A870" s="5"/>
      <c r="B870" s="8"/>
      <c r="C870" s="4"/>
      <c r="D870" s="8"/>
      <c r="E870" s="8"/>
      <c r="F870" s="8"/>
    </row>
    <row r="871" spans="1:6">
      <c r="A871" s="5"/>
      <c r="B871" s="8"/>
      <c r="C871" s="4"/>
      <c r="D871" s="8"/>
      <c r="E871" s="8"/>
      <c r="F871" s="8"/>
    </row>
    <row r="872" spans="1:6">
      <c r="A872" s="5"/>
      <c r="B872" s="8"/>
      <c r="C872" s="4"/>
      <c r="D872" s="8"/>
      <c r="E872" s="8"/>
      <c r="F872" s="8"/>
    </row>
    <row r="873" spans="1:6">
      <c r="A873" s="5"/>
      <c r="B873" s="8"/>
      <c r="C873" s="4"/>
      <c r="D873" s="8"/>
      <c r="E873" s="8"/>
      <c r="F873" s="8"/>
    </row>
    <row r="874" spans="1:6">
      <c r="A874" s="5"/>
      <c r="B874" s="8"/>
      <c r="C874" s="4"/>
      <c r="D874" s="8"/>
      <c r="E874" s="8"/>
      <c r="F874" s="8"/>
    </row>
    <row r="875" spans="1:6">
      <c r="A875" s="5"/>
      <c r="B875" s="8"/>
      <c r="C875" s="4"/>
      <c r="D875" s="8"/>
      <c r="E875" s="8"/>
      <c r="F875" s="8"/>
    </row>
    <row r="876" spans="1:6">
      <c r="A876" s="5"/>
      <c r="B876" s="8"/>
      <c r="C876" s="4"/>
      <c r="D876" s="8"/>
      <c r="E876" s="8"/>
      <c r="F876" s="8"/>
    </row>
    <row r="877" spans="1:6">
      <c r="A877" s="5"/>
      <c r="B877" s="8"/>
      <c r="C877" s="4"/>
      <c r="D877" s="8"/>
      <c r="E877" s="8"/>
      <c r="F877" s="8"/>
    </row>
    <row r="878" spans="1:6">
      <c r="A878" s="5"/>
      <c r="B878" s="8"/>
      <c r="C878" s="4"/>
      <c r="D878" s="8"/>
      <c r="E878" s="8"/>
      <c r="F878" s="8"/>
    </row>
    <row r="879" spans="1:6">
      <c r="A879" s="5"/>
      <c r="B879" s="8"/>
      <c r="C879" s="4"/>
      <c r="D879" s="8"/>
      <c r="E879" s="8"/>
      <c r="F879" s="8"/>
    </row>
    <row r="880" spans="1:6">
      <c r="A880" s="5"/>
      <c r="B880" s="8"/>
      <c r="C880" s="4"/>
      <c r="D880" s="8"/>
      <c r="E880" s="8"/>
      <c r="F880" s="8"/>
    </row>
    <row r="881" spans="1:6">
      <c r="A881" s="5"/>
      <c r="B881" s="8"/>
      <c r="C881" s="4"/>
      <c r="D881" s="8"/>
      <c r="E881" s="8"/>
      <c r="F881" s="8"/>
    </row>
    <row r="882" spans="1:6">
      <c r="A882" s="5"/>
      <c r="B882" s="8"/>
      <c r="C882" s="4"/>
      <c r="D882" s="8"/>
      <c r="E882" s="8"/>
      <c r="F882" s="8"/>
    </row>
    <row r="883" spans="1:6">
      <c r="A883" s="5"/>
      <c r="B883" s="8"/>
      <c r="C883" s="4"/>
      <c r="D883" s="8"/>
      <c r="E883" s="8"/>
      <c r="F883" s="8"/>
    </row>
    <row r="884" spans="1:6">
      <c r="A884" s="5"/>
      <c r="B884" s="8"/>
      <c r="C884" s="4"/>
      <c r="D884" s="8"/>
      <c r="E884" s="8"/>
      <c r="F884" s="8"/>
    </row>
    <row r="885" spans="1:6">
      <c r="A885" s="5"/>
      <c r="B885" s="8"/>
      <c r="C885" s="4"/>
      <c r="D885" s="8"/>
      <c r="E885" s="8"/>
      <c r="F885" s="8"/>
    </row>
    <row r="886" spans="1:6">
      <c r="A886" s="5"/>
      <c r="B886" s="8"/>
      <c r="C886" s="4"/>
      <c r="D886" s="8"/>
      <c r="E886" s="8"/>
      <c r="F886" s="8"/>
    </row>
    <row r="887" spans="1:6">
      <c r="A887" s="5"/>
      <c r="B887" s="8"/>
      <c r="C887" s="4"/>
      <c r="D887" s="8"/>
      <c r="E887" s="8"/>
      <c r="F887" s="8"/>
    </row>
    <row r="888" spans="1:6">
      <c r="A888" s="5"/>
      <c r="B888" s="8"/>
      <c r="C888" s="4"/>
      <c r="D888" s="8"/>
      <c r="E888" s="8"/>
      <c r="F888" s="8"/>
    </row>
    <row r="889" spans="1:6">
      <c r="A889" s="5"/>
      <c r="B889" s="8"/>
      <c r="C889" s="4"/>
      <c r="D889" s="8"/>
      <c r="E889" s="8"/>
      <c r="F889" s="8"/>
    </row>
    <row r="890" spans="1:6">
      <c r="A890" s="5"/>
      <c r="B890" s="8"/>
      <c r="C890" s="4"/>
      <c r="D890" s="8"/>
      <c r="E890" s="8"/>
      <c r="F890" s="8"/>
    </row>
    <row r="891" spans="1:6">
      <c r="A891" s="5"/>
      <c r="B891" s="8"/>
      <c r="C891" s="4"/>
      <c r="D891" s="8"/>
      <c r="E891" s="8"/>
      <c r="F891" s="8"/>
    </row>
    <row r="892" spans="1:6">
      <c r="A892" s="5"/>
      <c r="B892" s="8"/>
      <c r="C892" s="4"/>
      <c r="D892" s="8"/>
      <c r="E892" s="8"/>
      <c r="F892" s="8"/>
    </row>
    <row r="893" spans="1:6">
      <c r="A893" s="5"/>
      <c r="B893" s="8"/>
      <c r="C893" s="4"/>
      <c r="D893" s="8"/>
      <c r="E893" s="8"/>
      <c r="F893" s="8"/>
    </row>
    <row r="894" spans="1:6">
      <c r="A894" s="5"/>
      <c r="B894" s="8"/>
      <c r="C894" s="4"/>
      <c r="D894" s="8"/>
      <c r="E894" s="8"/>
      <c r="F894" s="8"/>
    </row>
    <row r="895" spans="1:6">
      <c r="A895" s="5"/>
      <c r="B895" s="8"/>
      <c r="C895" s="4"/>
      <c r="D895" s="8"/>
      <c r="E895" s="8"/>
      <c r="F895" s="8"/>
    </row>
    <row r="896" spans="1:6">
      <c r="A896" s="5"/>
      <c r="B896" s="8"/>
      <c r="C896" s="4"/>
      <c r="D896" s="8"/>
      <c r="E896" s="8"/>
      <c r="F896" s="8"/>
    </row>
    <row r="897" spans="1:6">
      <c r="A897" s="5"/>
      <c r="B897" s="8"/>
      <c r="C897" s="4"/>
      <c r="D897" s="8"/>
      <c r="E897" s="8"/>
      <c r="F897" s="8"/>
    </row>
    <row r="898" spans="1:6">
      <c r="A898" s="5"/>
      <c r="B898" s="8"/>
      <c r="C898" s="4"/>
      <c r="D898" s="8"/>
      <c r="E898" s="8"/>
      <c r="F898" s="8"/>
    </row>
    <row r="899" spans="1:6">
      <c r="A899" s="5"/>
      <c r="B899" s="8"/>
      <c r="C899" s="4"/>
      <c r="D899" s="8"/>
      <c r="E899" s="8"/>
      <c r="F899" s="8"/>
    </row>
    <row r="900" spans="1:6">
      <c r="A900" s="5"/>
      <c r="B900" s="8"/>
      <c r="C900" s="4"/>
      <c r="D900" s="8"/>
      <c r="E900" s="8"/>
      <c r="F900" s="8"/>
    </row>
    <row r="901" spans="1:6">
      <c r="A901" s="5"/>
      <c r="B901" s="8"/>
      <c r="C901" s="4"/>
      <c r="D901" s="8"/>
      <c r="E901" s="8"/>
      <c r="F901" s="8"/>
    </row>
    <row r="902" spans="1:6">
      <c r="A902" s="5"/>
      <c r="B902" s="8"/>
      <c r="C902" s="4"/>
      <c r="D902" s="8"/>
      <c r="E902" s="8"/>
      <c r="F902" s="8"/>
    </row>
    <row r="903" spans="1:6">
      <c r="A903" s="5"/>
      <c r="B903" s="8"/>
      <c r="C903" s="4"/>
      <c r="D903" s="8"/>
      <c r="E903" s="8"/>
      <c r="F903" s="8"/>
    </row>
    <row r="904" spans="1:6">
      <c r="A904" s="5"/>
      <c r="B904" s="8"/>
      <c r="C904" s="4"/>
      <c r="D904" s="8"/>
      <c r="E904" s="8"/>
      <c r="F904" s="8"/>
    </row>
    <row r="905" spans="1:6">
      <c r="A905" s="5"/>
      <c r="B905" s="8"/>
      <c r="C905" s="4"/>
      <c r="D905" s="8"/>
      <c r="E905" s="8"/>
      <c r="F905" s="8"/>
    </row>
    <row r="906" spans="1:6">
      <c r="A906" s="5"/>
      <c r="B906" s="8"/>
      <c r="C906" s="4"/>
      <c r="D906" s="8"/>
      <c r="E906" s="8"/>
      <c r="F906" s="8"/>
    </row>
    <row r="907" spans="1:6">
      <c r="A907" s="5"/>
      <c r="B907" s="8"/>
      <c r="C907" s="4"/>
      <c r="D907" s="8"/>
      <c r="E907" s="8"/>
      <c r="F907" s="8"/>
    </row>
    <row r="908" spans="1:6">
      <c r="A908" s="5"/>
      <c r="B908" s="8"/>
      <c r="C908" s="4"/>
      <c r="D908" s="8"/>
      <c r="E908" s="8"/>
      <c r="F908" s="8"/>
    </row>
    <row r="909" spans="1:6">
      <c r="A909" s="5"/>
      <c r="B909" s="8"/>
      <c r="C909" s="4"/>
      <c r="D909" s="8"/>
      <c r="E909" s="8"/>
      <c r="F909" s="8"/>
    </row>
    <row r="910" spans="1:6">
      <c r="A910" s="5"/>
      <c r="B910" s="8"/>
      <c r="C910" s="4"/>
      <c r="D910" s="8"/>
      <c r="E910" s="8"/>
      <c r="F910" s="8"/>
    </row>
    <row r="911" spans="1:6">
      <c r="A911" s="5"/>
      <c r="B911" s="8"/>
      <c r="C911" s="4"/>
      <c r="D911" s="8"/>
      <c r="E911" s="8"/>
      <c r="F911" s="8"/>
    </row>
    <row r="912" spans="1:6">
      <c r="A912" s="5"/>
      <c r="B912" s="8"/>
      <c r="C912" s="4"/>
      <c r="D912" s="8"/>
      <c r="E912" s="8"/>
      <c r="F912" s="8"/>
    </row>
    <row r="913" spans="1:6">
      <c r="A913" s="5"/>
      <c r="B913" s="8"/>
      <c r="C913" s="4"/>
      <c r="D913" s="8"/>
      <c r="E913" s="8"/>
      <c r="F913" s="8"/>
    </row>
    <row r="914" spans="1:6">
      <c r="A914" s="5"/>
      <c r="B914" s="8"/>
      <c r="C914" s="4"/>
      <c r="D914" s="8"/>
      <c r="E914" s="8"/>
      <c r="F914" s="8"/>
    </row>
    <row r="915" spans="1:6">
      <c r="A915" s="5"/>
      <c r="B915" s="8"/>
      <c r="C915" s="4"/>
      <c r="D915" s="8"/>
      <c r="E915" s="8"/>
      <c r="F915" s="8"/>
    </row>
    <row r="916" spans="1:6">
      <c r="A916" s="5"/>
      <c r="B916" s="8"/>
      <c r="C916" s="4"/>
      <c r="D916" s="8"/>
      <c r="E916" s="8"/>
      <c r="F916" s="8"/>
    </row>
    <row r="917" spans="1:6">
      <c r="A917" s="5"/>
      <c r="B917" s="8"/>
      <c r="C917" s="4"/>
      <c r="D917" s="8"/>
      <c r="E917" s="8"/>
      <c r="F917" s="8"/>
    </row>
    <row r="918" spans="1:6">
      <c r="A918" s="5"/>
      <c r="B918" s="8"/>
      <c r="C918" s="4"/>
      <c r="D918" s="8"/>
      <c r="E918" s="8"/>
      <c r="F918" s="8"/>
    </row>
    <row r="919" spans="1:6">
      <c r="A919" s="5"/>
      <c r="B919" s="8"/>
      <c r="C919" s="4"/>
      <c r="D919" s="8"/>
      <c r="E919" s="8"/>
      <c r="F919" s="8"/>
    </row>
    <row r="920" spans="1:6">
      <c r="A920" s="5"/>
      <c r="B920" s="8"/>
      <c r="C920" s="4"/>
      <c r="D920" s="8"/>
      <c r="E920" s="8"/>
      <c r="F920" s="8"/>
    </row>
    <row r="921" spans="1:6">
      <c r="A921" s="5"/>
      <c r="B921" s="8"/>
      <c r="C921" s="4"/>
      <c r="D921" s="8"/>
      <c r="E921" s="8"/>
      <c r="F921" s="8"/>
    </row>
    <row r="922" spans="1:6">
      <c r="A922" s="5"/>
      <c r="B922" s="8"/>
      <c r="C922" s="4"/>
      <c r="D922" s="8"/>
      <c r="E922" s="8"/>
      <c r="F922" s="8"/>
    </row>
    <row r="923" spans="1:6">
      <c r="A923" s="5"/>
      <c r="B923" s="8"/>
      <c r="C923" s="4"/>
      <c r="D923" s="8"/>
      <c r="E923" s="8"/>
      <c r="F923" s="8"/>
    </row>
    <row r="924" spans="1:6">
      <c r="A924" s="5"/>
      <c r="B924" s="8"/>
      <c r="C924" s="4"/>
      <c r="D924" s="8"/>
      <c r="E924" s="8"/>
      <c r="F924" s="8"/>
    </row>
    <row r="925" spans="1:6">
      <c r="A925" s="5"/>
      <c r="B925" s="8"/>
      <c r="C925" s="4"/>
      <c r="D925" s="8"/>
      <c r="E925" s="8"/>
      <c r="F925" s="8"/>
    </row>
    <row r="926" spans="1:6">
      <c r="A926" s="5"/>
      <c r="B926" s="8"/>
      <c r="C926" s="4"/>
      <c r="D926" s="8"/>
      <c r="E926" s="8"/>
      <c r="F926" s="8"/>
    </row>
    <row r="927" spans="1:6">
      <c r="A927" s="5"/>
      <c r="B927" s="8"/>
      <c r="C927" s="4"/>
      <c r="D927" s="8"/>
      <c r="E927" s="8"/>
      <c r="F927" s="8"/>
    </row>
    <row r="928" spans="1:6">
      <c r="A928" s="5"/>
      <c r="B928" s="8"/>
      <c r="C928" s="4"/>
      <c r="D928" s="8"/>
      <c r="E928" s="8"/>
      <c r="F928" s="8"/>
    </row>
    <row r="929" spans="1:6">
      <c r="A929" s="5"/>
      <c r="B929" s="8"/>
      <c r="C929" s="4"/>
      <c r="D929" s="8"/>
      <c r="E929" s="8"/>
      <c r="F929" s="8"/>
    </row>
    <row r="930" spans="1:6">
      <c r="A930" s="5"/>
      <c r="B930" s="8"/>
      <c r="C930" s="4"/>
      <c r="D930" s="8"/>
      <c r="E930" s="8"/>
      <c r="F930" s="8"/>
    </row>
    <row r="931" spans="1:6">
      <c r="A931" s="5"/>
      <c r="B931" s="8"/>
      <c r="C931" s="4"/>
      <c r="D931" s="8"/>
      <c r="E931" s="8"/>
      <c r="F931" s="8"/>
    </row>
    <row r="932" spans="1:6">
      <c r="A932" s="5"/>
      <c r="B932" s="8"/>
      <c r="C932" s="4"/>
      <c r="D932" s="8"/>
      <c r="E932" s="8"/>
      <c r="F932" s="8"/>
    </row>
    <row r="933" spans="1:6">
      <c r="A933" s="5"/>
      <c r="B933" s="8"/>
      <c r="C933" s="4"/>
      <c r="D933" s="8"/>
      <c r="E933" s="8"/>
      <c r="F933" s="8"/>
    </row>
    <row r="934" spans="1:6">
      <c r="A934" s="5"/>
      <c r="B934" s="8"/>
      <c r="C934" s="4"/>
      <c r="D934" s="8"/>
      <c r="E934" s="8"/>
      <c r="F934" s="8"/>
    </row>
    <row r="935" spans="1:6">
      <c r="A935" s="5"/>
      <c r="B935" s="8"/>
      <c r="C935" s="4"/>
      <c r="D935" s="8"/>
      <c r="E935" s="8"/>
      <c r="F935" s="8"/>
    </row>
    <row r="936" spans="1:6">
      <c r="A936" s="5"/>
      <c r="B936" s="8"/>
      <c r="C936" s="4"/>
      <c r="D936" s="8"/>
      <c r="E936" s="8"/>
      <c r="F936" s="8"/>
    </row>
    <row r="937" spans="1:6">
      <c r="A937" s="5"/>
      <c r="B937" s="8"/>
      <c r="C937" s="4"/>
      <c r="D937" s="8"/>
      <c r="E937" s="8"/>
      <c r="F937" s="8"/>
    </row>
    <row r="938" spans="1:6">
      <c r="A938" s="5"/>
      <c r="B938" s="8"/>
      <c r="C938" s="4"/>
      <c r="D938" s="8"/>
      <c r="E938" s="8"/>
      <c r="F938" s="8"/>
    </row>
    <row r="939" spans="1:6">
      <c r="A939" s="5"/>
      <c r="B939" s="8"/>
      <c r="C939" s="4"/>
      <c r="D939" s="8"/>
      <c r="E939" s="8"/>
      <c r="F939" s="8"/>
    </row>
    <row r="940" spans="1:6">
      <c r="A940" s="5"/>
      <c r="B940" s="8"/>
      <c r="C940" s="4"/>
      <c r="D940" s="8"/>
      <c r="E940" s="8"/>
      <c r="F940" s="8"/>
    </row>
    <row r="941" spans="1:6">
      <c r="A941" s="5"/>
      <c r="B941" s="8"/>
      <c r="C941" s="4"/>
      <c r="D941" s="8"/>
      <c r="E941" s="8"/>
      <c r="F941" s="8"/>
    </row>
    <row r="942" spans="1:6">
      <c r="A942" s="5"/>
      <c r="B942" s="8"/>
      <c r="C942" s="4"/>
      <c r="D942" s="8"/>
      <c r="E942" s="8"/>
      <c r="F942" s="8"/>
    </row>
    <row r="943" spans="1:6">
      <c r="A943" s="5"/>
      <c r="B943" s="8"/>
      <c r="C943" s="4"/>
      <c r="D943" s="8"/>
      <c r="E943" s="8"/>
      <c r="F943" s="8"/>
    </row>
    <row r="944" spans="1:6">
      <c r="A944" s="5"/>
      <c r="B944" s="8"/>
      <c r="C944" s="4"/>
      <c r="D944" s="8"/>
      <c r="E944" s="8"/>
      <c r="F944" s="8"/>
    </row>
    <row r="945" spans="1:6">
      <c r="A945" s="5"/>
      <c r="B945" s="8"/>
      <c r="C945" s="4"/>
      <c r="D945" s="8"/>
      <c r="E945" s="8"/>
      <c r="F945" s="8"/>
    </row>
    <row r="946" spans="1:6">
      <c r="A946" s="5"/>
      <c r="B946" s="8"/>
      <c r="C946" s="4"/>
      <c r="D946" s="8"/>
      <c r="E946" s="8"/>
      <c r="F946" s="8"/>
    </row>
    <row r="947" spans="1:6">
      <c r="A947" s="5"/>
      <c r="B947" s="8"/>
      <c r="C947" s="4"/>
      <c r="D947" s="8"/>
      <c r="E947" s="8"/>
      <c r="F947" s="8"/>
    </row>
    <row r="948" spans="1:6">
      <c r="A948" s="5"/>
      <c r="B948" s="8"/>
      <c r="C948" s="4"/>
      <c r="D948" s="8"/>
      <c r="E948" s="8"/>
      <c r="F948" s="8"/>
    </row>
    <row r="949" spans="1:6">
      <c r="A949" s="5"/>
      <c r="B949" s="8"/>
      <c r="C949" s="4"/>
      <c r="D949" s="8"/>
      <c r="E949" s="8"/>
      <c r="F949" s="8"/>
    </row>
    <row r="950" spans="1:6">
      <c r="A950" s="5"/>
      <c r="B950" s="8"/>
      <c r="C950" s="4"/>
      <c r="D950" s="8"/>
      <c r="E950" s="8"/>
      <c r="F950" s="8"/>
    </row>
    <row r="951" spans="1:6">
      <c r="A951" s="5"/>
      <c r="B951" s="8"/>
      <c r="C951" s="4"/>
      <c r="D951" s="8"/>
      <c r="E951" s="8"/>
      <c r="F951" s="8"/>
    </row>
    <row r="952" spans="1:6">
      <c r="A952" s="5"/>
      <c r="B952" s="8"/>
      <c r="C952" s="4"/>
      <c r="D952" s="8"/>
      <c r="E952" s="8"/>
      <c r="F952" s="8"/>
    </row>
    <row r="953" spans="1:6">
      <c r="A953" s="5"/>
      <c r="B953" s="8"/>
      <c r="C953" s="4"/>
      <c r="D953" s="8"/>
      <c r="E953" s="8"/>
      <c r="F953" s="8"/>
    </row>
    <row r="954" spans="1:6">
      <c r="A954" s="5"/>
      <c r="B954" s="8"/>
      <c r="C954" s="4"/>
      <c r="D954" s="8"/>
      <c r="E954" s="8"/>
      <c r="F954" s="8"/>
    </row>
    <row r="955" spans="1:6">
      <c r="A955" s="5"/>
      <c r="B955" s="8"/>
      <c r="C955" s="4"/>
      <c r="D955" s="8"/>
      <c r="E955" s="8"/>
      <c r="F955" s="8"/>
    </row>
    <row r="956" spans="1:6">
      <c r="A956" s="5"/>
      <c r="B956" s="8"/>
      <c r="C956" s="4"/>
      <c r="D956" s="8"/>
      <c r="E956" s="8"/>
      <c r="F956" s="8"/>
    </row>
    <row r="957" spans="1:6">
      <c r="A957" s="5"/>
      <c r="B957" s="8"/>
      <c r="C957" s="4"/>
      <c r="D957" s="8"/>
      <c r="E957" s="8"/>
      <c r="F957" s="8"/>
    </row>
    <row r="958" spans="1:6">
      <c r="A958" s="5"/>
      <c r="B958" s="8"/>
      <c r="C958" s="4"/>
      <c r="D958" s="8"/>
      <c r="E958" s="8"/>
      <c r="F958" s="8"/>
    </row>
    <row r="959" spans="1:6">
      <c r="A959" s="5"/>
      <c r="B959" s="8"/>
      <c r="C959" s="4"/>
      <c r="D959" s="8"/>
      <c r="E959" s="8"/>
      <c r="F959" s="8"/>
    </row>
    <row r="960" spans="1:6">
      <c r="A960" s="5"/>
      <c r="B960" s="8"/>
      <c r="C960" s="4"/>
      <c r="D960" s="8"/>
      <c r="E960" s="8"/>
      <c r="F960" s="8"/>
    </row>
    <row r="961" spans="1:6">
      <c r="A961" s="5"/>
      <c r="B961" s="8"/>
      <c r="C961" s="4"/>
      <c r="D961" s="8"/>
      <c r="E961" s="8"/>
      <c r="F961" s="8"/>
    </row>
    <row r="962" spans="1:6">
      <c r="A962" s="5"/>
      <c r="B962" s="8"/>
      <c r="C962" s="4"/>
      <c r="D962" s="8"/>
      <c r="E962" s="8"/>
      <c r="F962" s="8"/>
    </row>
    <row r="963" spans="1:6">
      <c r="A963" s="5"/>
      <c r="B963" s="8"/>
      <c r="C963" s="4"/>
      <c r="D963" s="8"/>
      <c r="E963" s="8"/>
      <c r="F963" s="8"/>
    </row>
    <row r="964" spans="1:6">
      <c r="A964" s="5"/>
      <c r="B964" s="8"/>
      <c r="C964" s="4"/>
      <c r="D964" s="8"/>
      <c r="E964" s="8"/>
      <c r="F964" s="8"/>
    </row>
    <row r="965" spans="1:6">
      <c r="A965" s="5"/>
      <c r="B965" s="8"/>
      <c r="C965" s="4"/>
      <c r="D965" s="8"/>
      <c r="E965" s="8"/>
      <c r="F965" s="8"/>
    </row>
    <row r="966" spans="1:6">
      <c r="A966" s="5"/>
      <c r="B966" s="8"/>
      <c r="C966" s="4"/>
      <c r="D966" s="8"/>
      <c r="E966" s="8"/>
      <c r="F966" s="8"/>
    </row>
    <row r="967" spans="1:6">
      <c r="A967" s="5"/>
      <c r="B967" s="8"/>
      <c r="C967" s="4"/>
      <c r="D967" s="8"/>
      <c r="E967" s="8"/>
      <c r="F967" s="8"/>
    </row>
    <row r="968" spans="1:6">
      <c r="A968" s="5"/>
      <c r="B968" s="8"/>
      <c r="C968" s="4"/>
      <c r="D968" s="8"/>
      <c r="E968" s="8"/>
      <c r="F968" s="8"/>
    </row>
    <row r="969" spans="1:6">
      <c r="A969" s="5"/>
      <c r="B969" s="8"/>
      <c r="C969" s="4"/>
      <c r="D969" s="8"/>
      <c r="E969" s="8"/>
      <c r="F969" s="8"/>
    </row>
    <row r="970" spans="1:6">
      <c r="A970" s="5"/>
      <c r="B970" s="8"/>
      <c r="C970" s="4"/>
      <c r="D970" s="8"/>
      <c r="E970" s="8"/>
      <c r="F970" s="8"/>
    </row>
    <row r="971" spans="1:6">
      <c r="A971" s="5"/>
      <c r="B971" s="8"/>
      <c r="C971" s="4"/>
      <c r="D971" s="8"/>
      <c r="E971" s="8"/>
      <c r="F971" s="8"/>
    </row>
    <row r="972" spans="1:6">
      <c r="A972" s="5"/>
      <c r="B972" s="8"/>
      <c r="C972" s="4"/>
      <c r="D972" s="8"/>
      <c r="E972" s="8"/>
      <c r="F972" s="8"/>
    </row>
    <row r="973" spans="1:6">
      <c r="A973" s="5"/>
      <c r="B973" s="8"/>
      <c r="C973" s="4"/>
      <c r="D973" s="8"/>
      <c r="E973" s="8"/>
      <c r="F973" s="8"/>
    </row>
    <row r="974" spans="1:6">
      <c r="A974" s="5"/>
      <c r="B974" s="8"/>
      <c r="C974" s="4"/>
      <c r="D974" s="8"/>
      <c r="E974" s="8"/>
      <c r="F974" s="8"/>
    </row>
    <row r="975" spans="1:6">
      <c r="A975" s="5"/>
      <c r="B975" s="8"/>
      <c r="C975" s="4"/>
      <c r="D975" s="8"/>
      <c r="E975" s="8"/>
      <c r="F975" s="8"/>
    </row>
    <row r="976" spans="1:6">
      <c r="A976" s="5"/>
      <c r="B976" s="8"/>
      <c r="C976" s="4"/>
      <c r="D976" s="8"/>
      <c r="E976" s="8"/>
      <c r="F976" s="8"/>
    </row>
    <row r="977" spans="1:6">
      <c r="A977" s="5"/>
      <c r="B977" s="8"/>
      <c r="C977" s="4"/>
      <c r="D977" s="8"/>
      <c r="E977" s="8"/>
      <c r="F977" s="8"/>
    </row>
    <row r="978" spans="1:6">
      <c r="A978" s="5"/>
      <c r="B978" s="8"/>
      <c r="C978" s="4"/>
      <c r="D978" s="8"/>
      <c r="E978" s="8"/>
      <c r="F978" s="8"/>
    </row>
    <row r="979" spans="1:6">
      <c r="A979" s="5"/>
      <c r="B979" s="8"/>
      <c r="C979" s="4"/>
      <c r="D979" s="8"/>
      <c r="E979" s="8"/>
      <c r="F979" s="8"/>
    </row>
    <row r="980" spans="1:6">
      <c r="A980" s="5"/>
      <c r="B980" s="8"/>
      <c r="C980" s="4"/>
      <c r="D980" s="8"/>
      <c r="E980" s="8"/>
      <c r="F980" s="8"/>
    </row>
    <row r="981" spans="1:6">
      <c r="A981" s="5"/>
      <c r="B981" s="8"/>
      <c r="C981" s="4"/>
      <c r="D981" s="8"/>
      <c r="E981" s="8"/>
      <c r="F981" s="8"/>
    </row>
    <row r="982" spans="1:6">
      <c r="A982" s="5"/>
      <c r="B982" s="8"/>
      <c r="C982" s="4"/>
      <c r="D982" s="8"/>
      <c r="E982" s="8"/>
      <c r="F982" s="8"/>
    </row>
    <row r="983" spans="1:6">
      <c r="A983" s="5"/>
      <c r="B983" s="8"/>
      <c r="C983" s="4"/>
      <c r="D983" s="8"/>
      <c r="E983" s="8"/>
      <c r="F983" s="8"/>
    </row>
    <row r="984" spans="1:6">
      <c r="A984" s="5"/>
      <c r="B984" s="8"/>
      <c r="C984" s="4"/>
      <c r="D984" s="8"/>
      <c r="E984" s="8"/>
      <c r="F984" s="8"/>
    </row>
    <row r="985" spans="1:6">
      <c r="A985" s="5"/>
      <c r="B985" s="8"/>
      <c r="C985" s="4"/>
      <c r="D985" s="8"/>
      <c r="E985" s="8"/>
      <c r="F985" s="8"/>
    </row>
    <row r="986" spans="1:6">
      <c r="A986" s="5"/>
      <c r="B986" s="8"/>
      <c r="C986" s="4"/>
      <c r="D986" s="8"/>
      <c r="E986" s="8"/>
      <c r="F986" s="8"/>
    </row>
    <row r="987" spans="1:6">
      <c r="A987" s="5"/>
      <c r="B987" s="8"/>
      <c r="C987" s="4"/>
      <c r="D987" s="8"/>
      <c r="E987" s="8"/>
      <c r="F987" s="8"/>
    </row>
    <row r="988" spans="1:6">
      <c r="A988" s="5"/>
      <c r="B988" s="8"/>
      <c r="C988" s="4"/>
      <c r="D988" s="8"/>
      <c r="E988" s="8"/>
      <c r="F988" s="8"/>
    </row>
    <row r="989" spans="1:6">
      <c r="A989" s="5"/>
      <c r="B989" s="8"/>
      <c r="C989" s="4"/>
      <c r="D989" s="8"/>
      <c r="E989" s="8"/>
      <c r="F989" s="8"/>
    </row>
    <row r="990" spans="1:6">
      <c r="A990" s="5"/>
      <c r="B990" s="8"/>
      <c r="C990" s="4"/>
      <c r="D990" s="8"/>
      <c r="E990" s="8"/>
      <c r="F990" s="8"/>
    </row>
    <row r="991" spans="1:6">
      <c r="A991" s="5"/>
      <c r="B991" s="8"/>
      <c r="C991" s="4"/>
      <c r="D991" s="8"/>
      <c r="E991" s="8"/>
      <c r="F991" s="8"/>
    </row>
    <row r="992" spans="1:6">
      <c r="A992" s="5"/>
      <c r="B992" s="8"/>
      <c r="C992" s="4"/>
      <c r="D992" s="8"/>
      <c r="E992" s="8"/>
      <c r="F992" s="8"/>
    </row>
    <row r="993" spans="1:6">
      <c r="A993" s="5"/>
      <c r="B993" s="8"/>
      <c r="C993" s="4"/>
      <c r="D993" s="8"/>
      <c r="E993" s="8"/>
      <c r="F993" s="8"/>
    </row>
    <row r="994" spans="1:6">
      <c r="A994" s="5"/>
      <c r="B994" s="8"/>
      <c r="C994" s="4"/>
      <c r="D994" s="8"/>
      <c r="E994" s="8"/>
      <c r="F994" s="8"/>
    </row>
    <row r="995" spans="1:6">
      <c r="A995" s="5"/>
      <c r="B995" s="8"/>
      <c r="C995" s="4"/>
      <c r="D995" s="8"/>
      <c r="E995" s="8"/>
      <c r="F995" s="8"/>
    </row>
    <row r="996" spans="1:6">
      <c r="A996" s="5"/>
      <c r="B996" s="8"/>
      <c r="C996" s="4"/>
      <c r="D996" s="8"/>
      <c r="E996" s="8"/>
      <c r="F996" s="8"/>
    </row>
    <row r="997" spans="1:6">
      <c r="A997" s="5"/>
      <c r="B997" s="8"/>
      <c r="C997" s="4"/>
      <c r="D997" s="8"/>
      <c r="E997" s="8"/>
      <c r="F997" s="8"/>
    </row>
    <row r="998" spans="1:6">
      <c r="A998" s="5"/>
      <c r="B998" s="8"/>
      <c r="C998" s="4"/>
      <c r="D998" s="8"/>
      <c r="E998" s="8"/>
      <c r="F998" s="8"/>
    </row>
  </sheetData>
  <phoneticPr fontId="0" type="noConversion"/>
  <printOptions horizontalCentered="1"/>
  <pageMargins left="0.5" right="0.5" top="0.98425196850393704" bottom="0.98425196850393704" header="0.4921259845" footer="0.4921259845"/>
  <pageSetup paperSize="9" orientation="portrait" horizontalDpi="4294967292" verticalDpi="4294967292"/>
  <headerFooter alignWithMargins="0">
    <oddFooter xml:space="preserve">&amp;L&amp;12    Table A3 : continued&amp;R A3/&amp;P  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Super Source File screaned</vt:lpstr>
      <vt:lpstr>'Super Source File screaned'!Print_Area</vt:lpstr>
      <vt:lpstr>'Super Source File screaned'!Print_Titles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Randell H.</dc:creator>
  <cp:lastModifiedBy>Behzad Ghanbarian</cp:lastModifiedBy>
  <cp:lastPrinted>2004-04-13T10:49:15Z</cp:lastPrinted>
  <dcterms:created xsi:type="dcterms:W3CDTF">2001-03-23T07:59:50Z</dcterms:created>
  <dcterms:modified xsi:type="dcterms:W3CDTF">2026-01-26T02:16:22Z</dcterms:modified>
</cp:coreProperties>
</file>